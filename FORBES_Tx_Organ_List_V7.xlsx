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muedu-my.sharepoint.com/personal/ozhoraye_gmu_edu/Documents/Documents/GMU/Codex/Forbes/Output/"/>
    </mc:Choice>
  </mc:AlternateContent>
  <xr:revisionPtr revIDLastSave="311" documentId="13_ncr:1_{3CE22DBC-9A03-4608-BC5F-1BE35FEBA1A3}" xr6:coauthVersionLast="47" xr6:coauthVersionMax="47" xr10:uidLastSave="{FC47E317-AF2D-46B3-8EBE-35F922402E3F}"/>
  <bookViews>
    <workbookView xWindow="-108" yWindow="-108" windowWidth="20376" windowHeight="12096" firstSheet="4" activeTab="9" xr2:uid="{00000000-000D-0000-FFFF-FFFF00000000}"/>
  </bookViews>
  <sheets>
    <sheet name="Liver Variables" sheetId="1" r:id="rId1"/>
    <sheet name="Kidney Variables" sheetId="2" r:id="rId2"/>
    <sheet name="Heart Variables" sheetId="3" r:id="rId3"/>
    <sheet name="Calculated Stats" sheetId="4" r:id="rId4"/>
    <sheet name="Ki_clean" sheetId="5" r:id="rId5"/>
    <sheet name="HT_clean" sheetId="7" r:id="rId6"/>
    <sheet name="Lv_clean" sheetId="9" r:id="rId7"/>
    <sheet name="KI_results" sheetId="6" r:id="rId8"/>
    <sheet name="HT_results" sheetId="8" r:id="rId9"/>
    <sheet name="Lv_results" sheetId="10" r:id="rId10"/>
  </sheets>
  <definedNames>
    <definedName name="_xlnm._FilterDatabase" localSheetId="4" hidden="1">Ki_clean!$A$1:$M$187</definedName>
    <definedName name="_xlnm._FilterDatabase" localSheetId="1" hidden="1">'Kidney Variables'!$A$1:$M$188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6" l="1"/>
  <c r="R18" i="6"/>
  <c r="Q18" i="6"/>
  <c r="P18" i="6"/>
  <c r="O18" i="6"/>
  <c r="N18" i="6"/>
  <c r="M18" i="6"/>
  <c r="S17" i="6"/>
  <c r="Q17" i="6"/>
  <c r="P17" i="6"/>
  <c r="M17" i="6"/>
  <c r="S15" i="6"/>
  <c r="R15" i="6"/>
  <c r="Q15" i="6"/>
  <c r="P15" i="6"/>
  <c r="O15" i="6"/>
  <c r="N15" i="6"/>
  <c r="M15" i="6"/>
  <c r="S13" i="6"/>
  <c r="R13" i="6"/>
  <c r="Q13" i="6"/>
  <c r="P13" i="6"/>
  <c r="O13" i="6"/>
  <c r="O17" i="6" s="1"/>
  <c r="N13" i="6"/>
  <c r="N17" i="6" s="1"/>
  <c r="M13" i="6"/>
  <c r="S12" i="6"/>
  <c r="R12" i="6"/>
  <c r="R17" i="6" s="1"/>
  <c r="Q12" i="6"/>
  <c r="P12" i="6"/>
  <c r="O12" i="6"/>
  <c r="N12" i="6"/>
  <c r="M12" i="6"/>
</calcChain>
</file>

<file path=xl/sharedStrings.xml><?xml version="1.0" encoding="utf-8"?>
<sst xmlns="http://schemas.openxmlformats.org/spreadsheetml/2006/main" count="2561" uniqueCount="661">
  <si>
    <t>Transplant Center</t>
  </si>
  <si>
    <t>Yearly Adult Transplants</t>
  </si>
  <si>
    <t>Rankings</t>
  </si>
  <si>
    <t>FORBES RATING</t>
  </si>
  <si>
    <t>Patient Access</t>
  </si>
  <si>
    <t>Pre-Tx Mortality</t>
  </si>
  <si>
    <t>Patient Acuity</t>
  </si>
  <si>
    <t>Value/Efficiency</t>
  </si>
  <si>
    <t>Rank</t>
  </si>
  <si>
    <t>FORBES (Overall)</t>
  </si>
  <si>
    <t>FORBES (Outcomes)</t>
  </si>
  <si>
    <t>SRTR</t>
  </si>
  <si>
    <t>Tx Rate Ratio</t>
  </si>
  <si>
    <t>OAR Overall</t>
  </si>
  <si>
    <t>Pre-Tx Mort Rate
(/100PY)</t>
  </si>
  <si>
    <t>% ICU at Tx</t>
  </si>
  <si>
    <t>% MELD 31-40</t>
  </si>
  <si>
    <t>Median LOS (days)</t>
  </si>
  <si>
    <t>FLUF-TX1 UF Health Shands Hospital</t>
  </si>
  <si>
    <t>Yes</t>
  </si>
  <si>
    <t>FLCC-TX1 Cleveland Clinic Florida Weston Hospital</t>
  </si>
  <si>
    <t>TXSP-TX1 UT Southwestern Medical Center</t>
  </si>
  <si>
    <t>WISE-TX1 Froedtert Memorial Lutheran Hospital</t>
  </si>
  <si>
    <t>TXBC-TX1 University Hospital, Univers</t>
  </si>
  <si>
    <t>N/A</t>
  </si>
  <si>
    <t>No</t>
  </si>
  <si>
    <t>UTLD-TX1 Intermountain Medical Center</t>
  </si>
  <si>
    <t>MNUM-TX1 University of Minnesota Medi..</t>
  </si>
  <si>
    <t>CASM-TX1 University of California Davis Medical Center</t>
  </si>
  <si>
    <t>NYWC-TX1 Westchester Medical Center</t>
  </si>
  <si>
    <t>OHUH-TX1 University Hospitals of Clev..</t>
  </si>
  <si>
    <t>NYNY-TX1 New York-Presbyterian Hospital</t>
  </si>
  <si>
    <t>NCDU-TX1 Duke University Hospital</t>
  </si>
  <si>
    <t>AZMC-TX1 Mayo Clinic Hospital Arizona</t>
  </si>
  <si>
    <t>INIM-TX1 Indiana University Health</t>
  </si>
  <si>
    <t>WISL-TX1 Aurora St. Luke's Medical Center</t>
  </si>
  <si>
    <t>CAUH-TX1 Keck Hospital of USC</t>
  </si>
  <si>
    <t>CASD-TX1 University of California San Diego Medical Center</t>
  </si>
  <si>
    <t>AZGS-TX1 Banner-University Medical Center, Pheonix</t>
  </si>
  <si>
    <t>HIQM-TX1 The Queen's Medical Center</t>
  </si>
  <si>
    <t>VAUV-TX1 University of Virginia Health University Medical Center</t>
  </si>
  <si>
    <t>ARUA-TX1 UAMS Medical Center</t>
  </si>
  <si>
    <t>NYUC-TX1 NYU Langone Health</t>
  </si>
  <si>
    <t>NYNS-TX1 North Shore University Hospi..</t>
  </si>
  <si>
    <t>CACS-TX1 Cedars-Sinai Medical Center</t>
  </si>
  <si>
    <t>MIBH-TX1 Corewell Health William Beau..</t>
  </si>
  <si>
    <t>PAUP-TX1 Hospital of the University o..</t>
  </si>
  <si>
    <t>LAWK-TX1 Willis-Knighton Medical Center</t>
  </si>
  <si>
    <t>TXHH-TX1 Memorial Hermann Hospital, University of Texas at Houston</t>
  </si>
  <si>
    <t>WAUW-TX1 University of Washington Med..</t>
  </si>
  <si>
    <t>CAUC-TX1 University of California at Los Angeles</t>
  </si>
  <si>
    <t>KYUK-TX1 University of Kentucky Medical Center</t>
  </si>
  <si>
    <t>LAOF-TX1 Ochsner Foundation Hospital</t>
  </si>
  <si>
    <t>OKBC-TX1 Integris Baptist Medical Cen..</t>
  </si>
  <si>
    <t>CASU-TX1 Stanford Health Care</t>
  </si>
  <si>
    <t>COPM-TX1 AdventHealth Porter</t>
  </si>
  <si>
    <t>MNMC-TX1 Mayo Clinic Hospital Minnesota</t>
  </si>
  <si>
    <t>FLTG-TX1 Tampa General Hospital</t>
  </si>
  <si>
    <t>NYMA-TX1 Montefiore Medical Center</t>
  </si>
  <si>
    <t>TXHS-TX1 Methodist Specialty and Tran..</t>
  </si>
  <si>
    <t>MABI-TX1 Beth Israel Deaconess Medical Center</t>
  </si>
  <si>
    <t>GAPH-TX1 Piedmont Atlanta Hospital</t>
  </si>
  <si>
    <t>SCMU-TX1 Medical University of South ..</t>
  </si>
  <si>
    <t>FLFH-TX1 AdventHealth Orlando</t>
  </si>
  <si>
    <t>PAHE-TX1 Penn State Milton S Hershey Medical Center</t>
  </si>
  <si>
    <t>NYFL-TX1 Strong Memorial Hospital, Un..</t>
  </si>
  <si>
    <t>TXMC-TX1 Methodist Dallas Medical Cen..</t>
  </si>
  <si>
    <t>NCCM-TX1 Carolinas Medical Center</t>
  </si>
  <si>
    <t>FLSL-TX1 Mayo Clinic Hospital Florida</t>
  </si>
  <si>
    <t xml:space="preserve">CALL-TX1 Loma Linda University Medical Center </t>
  </si>
  <si>
    <t>CTYN-TX1 Yale New Haven Hospital</t>
  </si>
  <si>
    <t>CAPM-TX1 California Pacific Medical C..</t>
  </si>
  <si>
    <t>ILUI-TX1 University of Illinois Medic..</t>
  </si>
  <si>
    <t>TXHI-TX1 CHI St. Luke's Health Baylor College of Medcine Medical Center</t>
  </si>
  <si>
    <t>ORUO-TX1 Oregon Health and Science Un..</t>
  </si>
  <si>
    <t>PAGM-TX1 Geisinger Medical Center</t>
  </si>
  <si>
    <t>MOBH-TX1 Barnes-Jewish Hospital</t>
  </si>
  <si>
    <t>MIHF-TX1 Henry Ford Hospital</t>
  </si>
  <si>
    <t>ILLU-TX1 Loyola University Medical Ce..</t>
  </si>
  <si>
    <t>TXMH-TX1 Houston Methodist Hospital</t>
  </si>
  <si>
    <t>LATU-TX1 Tulane Medical Center</t>
  </si>
  <si>
    <t>CASF-TX1 University of California San Franciso Medical Center</t>
  </si>
  <si>
    <t>ILNM-TX1 Northwestern Memorial Hospital</t>
  </si>
  <si>
    <t>OHUC-TX1 University of Cincinnati  Me..</t>
  </si>
  <si>
    <t>AZSJ-TX1 St. Joseph's Hospital and Medical Center</t>
  </si>
  <si>
    <t>PAAG-TX1 Allegheny General Hospital</t>
  </si>
  <si>
    <t>OKMD-TX1 OU Medical Center</t>
  </si>
  <si>
    <t>OHCC-TX1 The Cleveland Clinic Foundation</t>
  </si>
  <si>
    <t>ILPL-TX1 Rush University Medical Center</t>
  </si>
  <si>
    <t>MOLH-TX1 St Luke's Hospital of Kansas City</t>
  </si>
  <si>
    <t>MAUM-TX1 UMass Memorial Medical Center</t>
  </si>
  <si>
    <t>TXHD-TX1 Medical City Dallas Hospital</t>
  </si>
  <si>
    <t>ALUA-TX1 University of Alabama Hospital</t>
  </si>
  <si>
    <t>MOSL-TX1 SSM Health Saint Louis University</t>
  </si>
  <si>
    <t>SDMK-TX1 Avera McKennan Hospital</t>
  </si>
  <si>
    <t>WASM-TX1 Swedish Medical Center</t>
  </si>
  <si>
    <t>NCMH-TX1 University of North Carolina..</t>
  </si>
  <si>
    <t>NYMS-TX1 Mount Sinai Medical Center</t>
  </si>
  <si>
    <t>CTHH-TX1 Hartford Hospital</t>
  </si>
  <si>
    <t>MAMG-TX1 Massachusetts General Hospital</t>
  </si>
  <si>
    <t>MIUM-TX1 University of Michigan Medic..</t>
  </si>
  <si>
    <t>AZUA-TX1 Banner-University Medical Center South (Tuscon)</t>
  </si>
  <si>
    <t>MANM-TX1 Tufts Medical Center</t>
  </si>
  <si>
    <t>TNVU-TX1 Vanderbilt University Medical Center</t>
  </si>
  <si>
    <t>MDJH-TX1 Johns Hopkins Hospital</t>
  </si>
  <si>
    <t>TXTX-TX1 Baylor University Medical Center</t>
  </si>
  <si>
    <t>WIUW-TX1 University of Wisconsin Hospital</t>
  </si>
  <si>
    <t>NJUH-TX1 University Hospital</t>
  </si>
  <si>
    <t>MDUM-TX1 University of Maryland Medic..</t>
  </si>
  <si>
    <t>PAAE-TX1 Albert Einstein Medical Center</t>
  </si>
  <si>
    <t>KSUK-TX1 University of Kansas Hospital</t>
  </si>
  <si>
    <t>TXAS-TX1 Baylor Scott and White All Saints Medical Center</t>
  </si>
  <si>
    <t>NEUN-TX1 The Nebraska Medical Center</t>
  </si>
  <si>
    <t>FLLM-TX1 Largo Medical Center</t>
  </si>
  <si>
    <t>COSL-TX1 Presbyterian/St Luke's Medic..</t>
  </si>
  <si>
    <t>COUC-TX1 University of Colorado Hospital</t>
  </si>
  <si>
    <t>NYCP-TX1 NY Presbyterian Hospital/Columbia University</t>
  </si>
  <si>
    <t>PATU-TX1 Temple University Hospital</t>
  </si>
  <si>
    <t>GAEM-TX1 Emory University Hospital</t>
  </si>
  <si>
    <t>CARC-TX1 Riverside Community Hospital</t>
  </si>
  <si>
    <t>UTMC-TX1 University of Utah Medical Center</t>
  </si>
  <si>
    <t>OHOU-TX1 Ohio State University Medica..</t>
  </si>
  <si>
    <t>ILUC-TX1 University of Chicago Medical Center</t>
  </si>
  <si>
    <t>DCGU-TX1 Medstar Georgetown Transplan..</t>
  </si>
  <si>
    <t>PAPT-TX1 University of Pittsburgh Medical Center</t>
  </si>
  <si>
    <t>VAMC-TX1 VCU Health System Authority,..</t>
  </si>
  <si>
    <t>DCGW-TX1 George Washington University..</t>
  </si>
  <si>
    <t>FLJM-TX1 Jackson Memorial Hospital Un..</t>
  </si>
  <si>
    <t>MALC-TX1 Lahey Clinic Medical Center</t>
  </si>
  <si>
    <t>NJLL-TX1 Virtua Our Lady of Lourdes H..</t>
  </si>
  <si>
    <t>PATJ-TX1 Thomas Jefferson University ..</t>
  </si>
  <si>
    <t>KYJH-TX1 Jewish Hospital</t>
  </si>
  <si>
    <t>TNMH-TX1 Methodist University Hospital</t>
  </si>
  <si>
    <t>IAIV-TX1 University of Iowa Hospitals and Clinics Transplant Program</t>
  </si>
  <si>
    <t>MSUM-TX1 University of Mississippi Me..</t>
  </si>
  <si>
    <t>CAGH-TX1 Scripps Green Hospital</t>
  </si>
  <si>
    <t>EXCLUDED CENTERS</t>
  </si>
  <si>
    <t>NOTES</t>
  </si>
  <si>
    <t>PACH-TX1 UPMC Children's Hospital of ..</t>
  </si>
  <si>
    <t>EXCLUDED: Pediatric Center</t>
  </si>
  <si>
    <t>GAEH-TX1 Children's Healthcare of Atl..</t>
  </si>
  <si>
    <t>TXTC-TX1 Texas Children's Hospital</t>
  </si>
  <si>
    <t>MNAC-TX1 Univ of MN Amplatz Children'..</t>
  </si>
  <si>
    <t>CACH-TX1 Rady Children's Hospital and..</t>
  </si>
  <si>
    <t>CACL-TX1 Children's Hospital Los Ange..</t>
  </si>
  <si>
    <t>TXCM-TX1 Children's Medical Center of..</t>
  </si>
  <si>
    <t>MOCH-TX1 St. Louis Children's Hospita..</t>
  </si>
  <si>
    <t>WICH-TX1 Children's Hospital of Wisco..</t>
  </si>
  <si>
    <t>COCH-TX1 Children's Hospital Colorado</t>
  </si>
  <si>
    <t>OHCM-TX1 Children's Hospital Medical ..</t>
  </si>
  <si>
    <t>OHCH-TX1 Nationwide Children's Hospital</t>
  </si>
  <si>
    <t>MACH-TX1 Boston Children's Hospital</t>
  </si>
  <si>
    <t>MOCG-TX1 Cardinal Glennon Children's ..</t>
  </si>
  <si>
    <t>MICH-TX1 Children's Hospital of Michi..</t>
  </si>
  <si>
    <t>MOCM-TX1 Children's Mercy Hospital</t>
  </si>
  <si>
    <t>ALCH-TX1 Children's of Alabama</t>
  </si>
  <si>
    <t>CAPC-TX1 Lucile Salter Packard Childr..</t>
  </si>
  <si>
    <t>AZCH-TX1 Phoenix Children's Hospital</t>
  </si>
  <si>
    <t>UTPC-TX1 Primary Children's Hospital</t>
  </si>
  <si>
    <t>WACH-TX1 Seattle Children's Hospital</t>
  </si>
  <si>
    <t>ORVA-TX1 VA Portland Health Care System</t>
  </si>
  <si>
    <t>EXCLUDED: VA Center</t>
  </si>
  <si>
    <t>TXVA-TX1 Michael E. DeBakey VA Medica..</t>
  </si>
  <si>
    <t>PAVA-TX1 VA Pittsburgh Healthcare Sys..</t>
  </si>
  <si>
    <t>ILCM-TX1 Ann &amp; Robert H. Lurie Childr..</t>
  </si>
  <si>
    <t>EXCLUDED: SRTR is N/A</t>
  </si>
  <si>
    <t>PAHM-TX1 Hahnemann University Hospital</t>
  </si>
  <si>
    <t>PARH-TX1 Reading Hospital</t>
  </si>
  <si>
    <t>CASV-TX1 St. Vincent Medical Center</t>
  </si>
  <si>
    <t>CAMB-TX1 UCSF Medical Center at Mission Bay</t>
  </si>
  <si>
    <t>PRSJ-TX1 Auxilio Mutuo Hospital</t>
  </si>
  <si>
    <t>EXCLUDED: Territory</t>
  </si>
  <si>
    <t>TXJS-TX1 University of Texas Medical Branch</t>
  </si>
  <si>
    <t>EXCLUDED: INACTIVE</t>
  </si>
  <si>
    <t>FLBC-TX1 Broward Health Medical Center</t>
  </si>
  <si>
    <t>Forbes Rating</t>
  </si>
  <si>
    <t>% cPRA 80%+</t>
  </si>
  <si>
    <t>% Diabetes at Tx</t>
  </si>
  <si>
    <t>WISL-TX1 Aurora St. Luke's Medical Ce..</t>
  </si>
  <si>
    <t>SCLA-TX1 MUSC Lancaster</t>
  </si>
  <si>
    <t>TXPL-TX1 Medical City Fort Worth</t>
  </si>
  <si>
    <t>FLMR-TX1 Memorial Regional Hospital</t>
  </si>
  <si>
    <t>AZGS-TX1 Banner-University Medical Center Phoenix</t>
  </si>
  <si>
    <t>WISE-TX1 Froedtert Memorial Lutheran ..</t>
  </si>
  <si>
    <t>CASD-TX1 University of California San..</t>
  </si>
  <si>
    <t>CASJ-TX1 Saint Joseph Hospital</t>
  </si>
  <si>
    <t>TXSP-TX1 UT Southwestern Medical Cent..</t>
  </si>
  <si>
    <t>SCPG-TX1 Prisma Health Greenville Mem..</t>
  </si>
  <si>
    <t>KYUK-TX1 University of Kentucky Medic..</t>
  </si>
  <si>
    <t>GAPH-TX1 Piedmont Hospital</t>
  </si>
  <si>
    <t>TXPM-TX1 Parkland Health and Hospital..</t>
  </si>
  <si>
    <t>NYAM-TX1 Albany Medical Center Hospital</t>
  </si>
  <si>
    <t>OHCC-TX1 The Cleveland Clinic Foundat..</t>
  </si>
  <si>
    <t>NHDH-TX1 Mary Hitchcock Memorial Hosp..</t>
  </si>
  <si>
    <t>CASM-TX1 University of California Dav..</t>
  </si>
  <si>
    <t>TNUK-TX1 University of Tennessee Medi..</t>
  </si>
  <si>
    <t>MOSL-TX1 SSM Health Saint Louis Unive..</t>
  </si>
  <si>
    <t>TXBC-TX1 University Hospital, Univers..</t>
  </si>
  <si>
    <t>MNHC-TX1 Hennepin County Medical Center</t>
  </si>
  <si>
    <t>AZSJ-TX1 St. Joseph's Hospital and Me..</t>
  </si>
  <si>
    <t>INSV-TX1 Ascension St. Vincent Hospital</t>
  </si>
  <si>
    <t>ILMM-TX1 Springfield Memorial Hospital</t>
  </si>
  <si>
    <t>OHCO-TX1 University of Toledo Medical..</t>
  </si>
  <si>
    <t>ILUC-TX1 University of Chicago Medica..</t>
  </si>
  <si>
    <t>TXTX-TX1 Baylor University Medical Ce..</t>
  </si>
  <si>
    <t>NCEC-TX1 ECU Health Medical Center</t>
  </si>
  <si>
    <t>FLCC-TX1 Cleveland Clinic Florida Wes..</t>
  </si>
  <si>
    <t>PAHH-TX1 Pinnacle Health System at Ha..</t>
  </si>
  <si>
    <t>VAFH-TX1 Inova Fairfax Hospital</t>
  </si>
  <si>
    <t>TXDR-TX1 Doctor's Hospital at Renaiss..</t>
  </si>
  <si>
    <t>OHTC-TX1 The Christ Hospital</t>
  </si>
  <si>
    <t>AZUA-TX1 Banner University Medical Ce..</t>
  </si>
  <si>
    <t>MISM-TX1 Mercy Health Saint Mary's</t>
  </si>
  <si>
    <t>PALV-TX1 Lehigh Valley Hospital</t>
  </si>
  <si>
    <t>RIRH-TX1 Rhode Island Hospital</t>
  </si>
  <si>
    <t>ILSF-TX1 OSF Saint Francis Medical Ce..</t>
  </si>
  <si>
    <t>TNVU-TX1 Vanderbilt University Medica..</t>
  </si>
  <si>
    <t>WIUW-TX1 University of Wisconsin Hosp..</t>
  </si>
  <si>
    <t>PAUP-TX1 Hospital of the University of Pennsylvania</t>
  </si>
  <si>
    <t>UTMC-TX1 University of Utah Medical C..</t>
  </si>
  <si>
    <t>MNAN-TX1 Abbott Northwestern Hospital</t>
  </si>
  <si>
    <t>TXFW-TX1 Texas Health Harris Methodis..</t>
  </si>
  <si>
    <t>TXHH-TX1 Memorial Hermann Hospital, U..</t>
  </si>
  <si>
    <t>VTMC-TX1 The University of Vermont Me..</t>
  </si>
  <si>
    <t>NVUM-TX1 University Medical Center of..</t>
  </si>
  <si>
    <t>ORGS-TX1 Legacy Good Samaritan Hospit..</t>
  </si>
  <si>
    <t>DECC-TX1 Christiana Care Health Servi..</t>
  </si>
  <si>
    <t>MOLH-TX1 St Luke's Hospital of Kansas..</t>
  </si>
  <si>
    <t>CALA-TX1 Harbor UCLA Medical Center</t>
  </si>
  <si>
    <t>PAHE-TX1 Penn State Milton S Hershey ..</t>
  </si>
  <si>
    <t>NYUM-TX1 State University of New York..</t>
  </si>
  <si>
    <t>CAMB-TX1 UCSF Medical Center at Missi..</t>
  </si>
  <si>
    <t>PAPH-TX1 UPMC Hamot</t>
  </si>
  <si>
    <t>ILCH-TX1 Advocate Christ Medical Center</t>
  </si>
  <si>
    <t>TXDS-TX1 Dell Seton Medical Center at..</t>
  </si>
  <si>
    <t>CASF-TX1 University of California San..</t>
  </si>
  <si>
    <t>NDMC-TX1 Sanford Bismarck Medical Cen..</t>
  </si>
  <si>
    <t>SDSV-TX1 Sanford Health/USD Medical C..</t>
  </si>
  <si>
    <t>NYSB-TX1 University Hospital of State..</t>
  </si>
  <si>
    <t>NMAQ-TX1 University Hospital, Univers..</t>
  </si>
  <si>
    <t>MORH-TX1 Research Medical Center</t>
  </si>
  <si>
    <t xml:space="preserve">MIBH-TX1 Corewell Health William Beaumont Hospital </t>
  </si>
  <si>
    <t>NCBG-TX1 Wake Forest Baptist Medical ..</t>
  </si>
  <si>
    <t>MABI-TX1 Beth Israel Deaconess Medica..</t>
  </si>
  <si>
    <t>PALH-TX1 The Lankenau Hospital</t>
  </si>
  <si>
    <t>NMPH-TX1 Presbyterian Hospital</t>
  </si>
  <si>
    <t>MISJ-TX1 Ascension St. John Hospital</t>
  </si>
  <si>
    <t>FLSH-TX1 Ascension Sacred Heart Pensa..</t>
  </si>
  <si>
    <t>IAIM-TX1 Iowa Methodist Medical Center</t>
  </si>
  <si>
    <t>TXHI-TX1 CHI St. Luke's Health Baylor..</t>
  </si>
  <si>
    <t>WVWU-TX1 West Virginia University Hos..</t>
  </si>
  <si>
    <t>CAIM-TX1 University of California Irv</t>
  </si>
  <si>
    <t>NDSL-TX1 Sanford Medical Center Fargo</t>
  </si>
  <si>
    <t>FLHM-TX1 Halifax Health</t>
  </si>
  <si>
    <t>VAHD-TX1 Henrico Doctors' Hospital</t>
  </si>
  <si>
    <t>TXAS-TX1 Baylor  Scott and White All ..</t>
  </si>
  <si>
    <t>TXDM-TX1 North Austin Medical Center</t>
  </si>
  <si>
    <t>NYNY-TX1 New York-Presbyterian Hospit..</t>
  </si>
  <si>
    <t>MABU-TX1 Boston Medical Center</t>
  </si>
  <si>
    <t>NYCP-TX1 NY Presbyterian Hospital/Col..</t>
  </si>
  <si>
    <t>NJSB-TX1 Saint Barnabas Medical Center</t>
  </si>
  <si>
    <t>VAUV-TX1 University of Virginia Healt..</t>
  </si>
  <si>
    <t>CAUC-TX1 University of California at ..</t>
  </si>
  <si>
    <t>TNEM-TX1 Erlanger Medical Center</t>
  </si>
  <si>
    <t>MOUM-TX1 University of Missouri Hospi..</t>
  </si>
  <si>
    <t>MEMC-TX1 Maine Medical Center</t>
  </si>
  <si>
    <t>NJHK-TX1 Hackensack University Medica..</t>
  </si>
  <si>
    <t>GAMC-TX1 Wellstar MCG Health, affilia..</t>
  </si>
  <si>
    <t>TNST-TX1 Saint Thomas Hospital</t>
  </si>
  <si>
    <t>NYDS-TX1 State University of New York..</t>
  </si>
  <si>
    <t>VANG-TX1 Sentara Norfolk General Hosp..</t>
  </si>
  <si>
    <t>CASH-TX1 Sharp Memorial Hospital</t>
  </si>
  <si>
    <t>WAVM-TX1 Virginia Mason Medical Center</t>
  </si>
  <si>
    <t>TXJS-TX1 University of Texas Medical ..</t>
  </si>
  <si>
    <t>TXSW-TX1 Scott and White Memorial Hos..</t>
  </si>
  <si>
    <t>MAPB-TX1 Brigham and Women's Hospital</t>
  </si>
  <si>
    <t>PAPT-TX1 University of Pittsburgh Med..</t>
  </si>
  <si>
    <t>COUC-TX1 University of Colorado Hospi..</t>
  </si>
  <si>
    <t>NYEC-TX1 Erie County Medical Center</t>
  </si>
  <si>
    <t>CALL-TX1 Loma Linda University Medica..</t>
  </si>
  <si>
    <t>WVCA-TX1 Charleston Area Medical Center</t>
  </si>
  <si>
    <t>IAIV-TX1 University of Iowa Hospitals..</t>
  </si>
  <si>
    <t>OKSJ-TX1 St John Medical Center</t>
  </si>
  <si>
    <t>TXLP-TX1 Las Palmas Medical Center</t>
  </si>
  <si>
    <t>NJRW-TX1 Robert Wood Johnson Universi..</t>
  </si>
  <si>
    <t>MABS-TX1 Baystate Medical Center</t>
  </si>
  <si>
    <t>WASH-TX1 Providence Sacred Heart Medi..</t>
  </si>
  <si>
    <t>VACH-TX1 Children's Hospital of the K..</t>
  </si>
  <si>
    <t>TXUC-TX1 University Children's Health</t>
  </si>
  <si>
    <t>TXCF-TX1 Cook Children's Medical Center</t>
  </si>
  <si>
    <t>TXDC-TX1 Driscoll Children's Hospital</t>
  </si>
  <si>
    <t>TNLB-TX1 Le Bonheur Children's Medica..</t>
  </si>
  <si>
    <t>PASC-TX1 St. Christopher's Hospital f..</t>
  </si>
  <si>
    <t>PACP-TX1 Children's Hospital of Phila..</t>
  </si>
  <si>
    <t>MIDV-TX1 Corewell Health Helen DeVos ..</t>
  </si>
  <si>
    <t>DCCH-TX1 Children's National Medical ..</t>
  </si>
  <si>
    <t>LACH-TX1 Children's Hospital</t>
  </si>
  <si>
    <t>DEAI-TX1 Nemours Children's Hospital ..</t>
  </si>
  <si>
    <t>GAEH-TX1 Childrens Healthcare of Atl..</t>
  </si>
  <si>
    <t>KYKC-TX1 Norton Children's Hospital</t>
  </si>
  <si>
    <t>ALVA-TX1 Birmingham VA Medical Center</t>
  </si>
  <si>
    <t>NYVA-TX1 James J. Peters VA Medical C..</t>
  </si>
  <si>
    <t>ILVA-TX1 Edward Hines Jr. Veterans Ad..</t>
  </si>
  <si>
    <t>IAVA-TX1 The Iowa City VA Health Care..</t>
  </si>
  <si>
    <t>DCWR-TX1 Walter Reed National Militar..</t>
  </si>
  <si>
    <t>ARBH-TX1 Baptist Medical Center</t>
  </si>
  <si>
    <t>TXTY-TX1 East Texas Medical Center</t>
  </si>
  <si>
    <t>TXRM-TX1 Christus Santa Rosa Hospital..</t>
  </si>
  <si>
    <t>TXMA-TX1 McAllen Medical Center</t>
  </si>
  <si>
    <t>TNVA-TX1 Tennessee Valley Healthcare ..</t>
  </si>
  <si>
    <t>TNPV-TX1 Centennial Medical Center</t>
  </si>
  <si>
    <t>PACC-TX1 Crozer-Chester Medical Center</t>
  </si>
  <si>
    <t>OKSF-TX1 Saint Francis Hospital</t>
  </si>
  <si>
    <t>NYCC-TX1 Long Island Jewish Medical C..</t>
  </si>
  <si>
    <t>MIHH-TX1 Harper University Hospital D..</t>
  </si>
  <si>
    <t>INLH-TX1 Lutheran Hospital of Fort Wa..</t>
  </si>
  <si>
    <t>IAMH-TX1 MercyOne Des Moines Transpla..</t>
  </si>
  <si>
    <t>FLFR-TX1 Gulf Coast Medical Center</t>
  </si>
  <si>
    <t>DCWH-TX1 Washington Hospital Center</t>
  </si>
  <si>
    <t>% Adult Status 1</t>
  </si>
  <si>
    <t>MISH-TX1 Corewell Health Grand Rapids Hospitals</t>
  </si>
  <si>
    <t>MDUM-TX1 University of Maryland Medical Center</t>
  </si>
  <si>
    <t>NYCP-TX1 NY Presbyterian Hospital/Columbia Univ. Medical Center</t>
  </si>
  <si>
    <t xml:space="preserve">TXHS-TX1 Methodist Specialty and Transplant Hospital
San Antonio, TX
</t>
  </si>
  <si>
    <t>SCMU-TX1 Medical University of South Carolina</t>
  </si>
  <si>
    <t>CAUC-TX1 University of California at Los Angeles Medical Center</t>
  </si>
  <si>
    <t>NCBG-TX1 Wake Forest Baptist Medical Center</t>
  </si>
  <si>
    <t>VANG-TX1 Sentara Norfolk General Hospital</t>
  </si>
  <si>
    <t>OKBC-TX1 Integris Baptist Medical Center</t>
  </si>
  <si>
    <t>PAUP-TX1 Hospital of the University of Pennsylvannia</t>
  </si>
  <si>
    <t>NYNS-TX1 North Shore University Hospital</t>
  </si>
  <si>
    <t>ORUO-TX1 Oregon Health and Science University</t>
  </si>
  <si>
    <t>NJRW-TX1 Robert Wood Johnson University Hospital</t>
  </si>
  <si>
    <t>INLH-TX1 Lutheran Hospital of Fort Wayne</t>
  </si>
  <si>
    <t>ILSF-TX1 OSF Saint Francis Medical Center</t>
  </si>
  <si>
    <t>CASG-TX1 Sutter Medical Center Sacramento</t>
  </si>
  <si>
    <t>CASF-TX1 University of California San Francisco Medical Center</t>
  </si>
  <si>
    <t>AZGS-TX1 Banner-University Medical Center Pheonix</t>
  </si>
  <si>
    <t>CAPM-TX1 California Pacific Medical Center</t>
  </si>
  <si>
    <t>TXSW-TX1 Scott and White Memorial Hospital</t>
  </si>
  <si>
    <t>OHUC-TX1 University of Cincinnati Medical Center</t>
  </si>
  <si>
    <t>OHUH-TX1 University Hospitals of Cleveland</t>
  </si>
  <si>
    <t>WVWU-TX1 West Virginia University Hospital</t>
  </si>
  <si>
    <t>NYNY-TX1 New York-Presbyterian Hospital/Weill Cornell Medical Center</t>
  </si>
  <si>
    <t>TXJS-TX1 University of Texas Medical Branch at Galveston</t>
  </si>
  <si>
    <t>CALL-TX1 Loma Linda University Medical Center</t>
  </si>
  <si>
    <t>TXCT-TX1 Seton Medical Center Austin</t>
  </si>
  <si>
    <t>ILLU-TX1 Loyola University Medical Center</t>
  </si>
  <si>
    <t>IAIV-TX1 University of Iowa Hospitals and Clinics Transplant Programs</t>
  </si>
  <si>
    <t>MSUM-TX1 University of Mississippi Medical Center</t>
  </si>
  <si>
    <t>MIUM-TX1 University of Michigan Medical Center</t>
  </si>
  <si>
    <t>WAUW-TX1 University of Washington Medical Center</t>
  </si>
  <si>
    <t>NCMH-TX1 University of North Carolina Hospitals</t>
  </si>
  <si>
    <t>OHOU-TX1 Ohio State University Medical Center</t>
  </si>
  <si>
    <t>PATJ-TX1 Thomas Jefferson University Hospital</t>
  </si>
  <si>
    <t>VAUV-TX1 University of Virginia Health Sciences Center</t>
  </si>
  <si>
    <t>FLJM-TX1 Jackson Memorial Hospital University of Miami Schol of Medicine</t>
  </si>
  <si>
    <t>VAMC-TX1 VCU Health System Authority</t>
  </si>
  <si>
    <t>FLCC-TX1 Cleveland Clinic Florida Weston</t>
  </si>
  <si>
    <t>TXHI-TX1 CHI St. Luke's Health Baylor College of Medicine Medical Center</t>
  </si>
  <si>
    <t>NJBI-TX1 Newark Beth Israel Medical Center</t>
  </si>
  <si>
    <t>TNBM-TX1 Baptist Memorial Hospital</t>
  </si>
  <si>
    <t>MNUM-TX1 University of Minnesota Medical Center</t>
  </si>
  <si>
    <t>NYFL-TX1 Strong Memorial Hospital, University of Rochester Medical Center</t>
  </si>
  <si>
    <t>ARCH-TX1 Arkansas Children's Hospital</t>
  </si>
  <si>
    <t>FLAC-TX1 Johns Hopkins All Children's..</t>
  </si>
  <si>
    <t>FLJD-TX1 Memorial Regional Hospital/J..</t>
  </si>
  <si>
    <t>MOCG-TX1 Cardinal Glennon Children's Hospital</t>
  </si>
  <si>
    <t>MOCH-TX1 St. Louis Children's Hospital</t>
  </si>
  <si>
    <t>NECH-TX1 Children's Nebraska</t>
  </si>
  <si>
    <t>ORSV-TX1 Providence St. Vincent Medical Center &amp; Childrens Hospital</t>
  </si>
  <si>
    <t>SCCH-TX1 MUSC Children's Hospital</t>
  </si>
  <si>
    <t>TXDL-TX1 Dell Children's Medical Center</t>
  </si>
  <si>
    <t>WASH-TX1 Providence Sacred Heart Medical Center</t>
  </si>
  <si>
    <t>TXVA-TX1 Michael E. DeBakey VA Medical Center</t>
  </si>
  <si>
    <t>VAMV-TX1 Hunter Holmes McGuire VA Medical Center</t>
  </si>
  <si>
    <t>PRCC-TX1 Cardiovascular Center of Pue..</t>
  </si>
  <si>
    <t>AZUA-TX1 Banner University Medical Center Tuscon</t>
  </si>
  <si>
    <t>Forbes-Rated vs Non-Forbes — Calculated Statistics</t>
  </si>
  <si>
    <t>LIVER  |  Forbes N=71  |  Non-Forbes N=44  |  Total N=115</t>
  </si>
  <si>
    <t>Variable</t>
  </si>
  <si>
    <t>Source</t>
  </si>
  <si>
    <t>Forbes N</t>
  </si>
  <si>
    <t>Forbes Mean</t>
  </si>
  <si>
    <t>Forbes SD</t>
  </si>
  <si>
    <t>Forbes Median</t>
  </si>
  <si>
    <t>Non-Forbes N</t>
  </si>
  <si>
    <t>Non-Forbes Mean</t>
  </si>
  <si>
    <t>Non-Forbes SD</t>
  </si>
  <si>
    <t>Non-Forbes Median</t>
  </si>
  <si>
    <t>t-stat</t>
  </si>
  <si>
    <t>p-value</t>
  </si>
  <si>
    <t>Sig</t>
  </si>
  <si>
    <t>SRTR 1-Yr Survival★</t>
  </si>
  <si>
    <t>SRTR Jan 2026</t>
  </si>
  <si>
    <t>SRTR B2</t>
  </si>
  <si>
    <t>SRTR B11</t>
  </si>
  <si>
    <t>Pre-Tx Mort Rate (/100 PY)</t>
  </si>
  <si>
    <t>SRTR B5</t>
  </si>
  <si>
    <t>% ICU / Acuity at Tx</t>
  </si>
  <si>
    <t>SRTR C2D</t>
  </si>
  <si>
    <t>% MELD / Severity at Tx</t>
  </si>
  <si>
    <t>***</t>
  </si>
  <si>
    <t>SRTR C4D</t>
  </si>
  <si>
    <t>KIDNEY  |  Forbes N=107  |  Non-Forbes N=79  |  Total N=186</t>
  </si>
  <si>
    <t>*</t>
  </si>
  <si>
    <t>HEART  |  Forbes N=70  |  Non-Forbes N=39  |  Total N=109</t>
  </si>
  <si>
    <t>**</t>
  </si>
  <si>
    <t>TX_RATE</t>
  </si>
  <si>
    <t>FORBES</t>
  </si>
  <si>
    <t>TX_vol</t>
  </si>
  <si>
    <t>TX_center</t>
  </si>
  <si>
    <t>OAR</t>
  </si>
  <si>
    <t>PreTx_death</t>
  </si>
  <si>
    <t>Diab_per</t>
  </si>
  <si>
    <t>MedLOS</t>
  </si>
  <si>
    <t>cPRA_80plus</t>
  </si>
  <si>
    <t>rank1</t>
  </si>
  <si>
    <t>rank2</t>
  </si>
  <si>
    <t>rank3</t>
  </si>
  <si>
    <t>NON-FORBES</t>
  </si>
  <si>
    <t>KIDNEY</t>
  </si>
  <si>
    <t>Tx rate ratio, mean (SD)</t>
  </si>
  <si>
    <t>OAR overall, mean (SD)</t>
  </si>
  <si>
    <t>% cPRA_80+, mean (SD)</t>
  </si>
  <si>
    <t>% diabates at TX, mean (SD)</t>
  </si>
  <si>
    <t>Median LOS (days), mean (SD)</t>
  </si>
  <si>
    <t>* t-test</t>
  </si>
  <si>
    <t>PreTx_~h</t>
  </si>
  <si>
    <t>cPRA_8~s</t>
  </si>
  <si>
    <t>Transplant volume, mean (SD)</t>
  </si>
  <si>
    <t>p-val.*</t>
  </si>
  <si>
    <t xml:space="preserve"> (</t>
  </si>
  <si>
    <t>)</t>
  </si>
  <si>
    <t>PreTx mortality rate /100PY, mean (SD)</t>
  </si>
  <si>
    <t>264.73 (206.89)</t>
  </si>
  <si>
    <t>1.2 (0.52)</t>
  </si>
  <si>
    <t>0.99 (0.53)</t>
  </si>
  <si>
    <t>4.56 (1.36)</t>
  </si>
  <si>
    <t>19.84 (5.5)</t>
  </si>
  <si>
    <t>33.46 (5.49)</t>
  </si>
  <si>
    <t>5.3 (2.47)</t>
  </si>
  <si>
    <t>325.59 (225.61)</t>
  </si>
  <si>
    <t>1.21 (0.6)</t>
  </si>
  <si>
    <t>1.05 (0.62)</t>
  </si>
  <si>
    <t>4.73 (1.46)</t>
  </si>
  <si>
    <t>19.09 (5.85)</t>
  </si>
  <si>
    <t>32.52 (4.94)</t>
  </si>
  <si>
    <t>4.61 (1.32)</t>
  </si>
  <si>
    <t>Transplant centers not listed in FORBES have a higher median LOS.</t>
  </si>
  <si>
    <t>Z-stat</t>
  </si>
  <si>
    <t>p-val.</t>
  </si>
  <si>
    <t>Wilcoxon rank-sum test for equality</t>
  </si>
  <si>
    <t>Ranking similarity is rejected --&gt; No association betwenn the two rankings</t>
  </si>
  <si>
    <t>Q. Are the centers ranked high (low) in SRTR also ranked higher (lower) in FORBES overall rating?</t>
  </si>
  <si>
    <t>Spearman's rank correlation test</t>
  </si>
  <si>
    <t>rho</t>
  </si>
  <si>
    <t>There is no ranking concordance between the tworankings</t>
  </si>
  <si>
    <t>Q. Are the centers not listed in FORBES have a higher or lower median ranking in SRTR compared to those listed in FORBES?</t>
  </si>
  <si>
    <t>Total</t>
  </si>
  <si>
    <t>SRTR ranking</t>
  </si>
  <si>
    <t>2 (18.18%)</t>
  </si>
  <si>
    <t>6 (54.55%)</t>
  </si>
  <si>
    <t>3 (27.27%)</t>
  </si>
  <si>
    <t>11 (100%)</t>
  </si>
  <si>
    <t>13 (43.33%)</t>
  </si>
  <si>
    <t>10 (33.33%)</t>
  </si>
  <si>
    <t>7 (23.33%)</t>
  </si>
  <si>
    <t>30 (100%)</t>
  </si>
  <si>
    <t>8 (38.1%)</t>
  </si>
  <si>
    <t>9 (42.86%)</t>
  </si>
  <si>
    <t>4 (19.05%)</t>
  </si>
  <si>
    <t>21 (100%)</t>
  </si>
  <si>
    <t>14 (56%)</t>
  </si>
  <si>
    <t>8 (32%)</t>
  </si>
  <si>
    <t>3 (12%)</t>
  </si>
  <si>
    <t>25 (100%)</t>
  </si>
  <si>
    <t>7 (35%)</t>
  </si>
  <si>
    <t>5 (25%)</t>
  </si>
  <si>
    <t>8 (40%)</t>
  </si>
  <si>
    <t>20 (100%)</t>
  </si>
  <si>
    <t>44 (41.12%)</t>
  </si>
  <si>
    <t>38 (35.51%)</t>
  </si>
  <si>
    <t>25 (23.36%)</t>
  </si>
  <si>
    <t>107 (100%)</t>
  </si>
  <si>
    <t>SRTR / FORBES</t>
  </si>
  <si>
    <t>P-val.</t>
  </si>
  <si>
    <t>There is no association between the two rankings</t>
  </si>
  <si>
    <t>Another way to test the association between the two rankings: Fisher's exact test</t>
  </si>
  <si>
    <t>1. FORBES OVERALL rankings</t>
  </si>
  <si>
    <t>2. FORBES OUTCOME rankings</t>
  </si>
  <si>
    <t>4 (36.36%)</t>
  </si>
  <si>
    <t>5 (45.45%)</t>
  </si>
  <si>
    <t>11 (36.67%)</t>
  </si>
  <si>
    <t>33.33 (%)</t>
  </si>
  <si>
    <t>30 (%)</t>
  </si>
  <si>
    <t>100 (%)</t>
  </si>
  <si>
    <t>7 (33.33%)</t>
  </si>
  <si>
    <t>6 (28.57%)</t>
  </si>
  <si>
    <t>4 (20%)</t>
  </si>
  <si>
    <t>56 (%)</t>
  </si>
  <si>
    <t>12 (%)</t>
  </si>
  <si>
    <t>35 (32.71%)</t>
  </si>
  <si>
    <t>9 (45%)</t>
  </si>
  <si>
    <t>DESCRIPTIVE STATS</t>
  </si>
  <si>
    <t>REGRESSION STATS</t>
  </si>
  <si>
    <t>[95% conf.</t>
  </si>
  <si>
    <t>interval]</t>
  </si>
  <si>
    <t>Transplant volume</t>
  </si>
  <si>
    <t>Tx rate ratio,</t>
  </si>
  <si>
    <t>OAR overall</t>
  </si>
  <si>
    <t>PreTx mortality rate /100PY</t>
  </si>
  <si>
    <t>% cPRA_80+</t>
  </si>
  <si>
    <t>% diabates at TX</t>
  </si>
  <si>
    <t>OR</t>
  </si>
  <si>
    <t>1. Logistic regression to compare FORBES vs. NON-FORBES</t>
  </si>
  <si>
    <t>2. Ordinal logistic regression to FORBES vs. Non-FORBES</t>
  </si>
  <si>
    <t>There were no associations between SRTR rankings and the likelihood of being included in FORBES ranking</t>
  </si>
  <si>
    <r>
      <t xml:space="preserve">There were no associations between SRTR and 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rankings (among those centers that were ranked by both)</t>
    </r>
  </si>
  <si>
    <r>
      <t xml:space="preserve">There were no associations between SRTR and FORBES </t>
    </r>
    <r>
      <rPr>
        <b/>
        <sz val="11"/>
        <color rgb="FFFF0000"/>
        <rFont val="Calibri"/>
        <family val="2"/>
        <scheme val="minor"/>
      </rPr>
      <t>overall</t>
    </r>
    <r>
      <rPr>
        <sz val="11"/>
        <color rgb="FFFF0000"/>
        <rFont val="Calibri"/>
        <family val="2"/>
        <scheme val="minor"/>
      </rPr>
      <t xml:space="preserve"> rankings (among those centers that were ranked by both)</t>
    </r>
  </si>
  <si>
    <r>
      <t xml:space="preserve">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RANKING</t>
    </r>
  </si>
  <si>
    <r>
      <t xml:space="preserve">FORBES </t>
    </r>
    <r>
      <rPr>
        <b/>
        <sz val="11"/>
        <color rgb="FFFF0000"/>
        <rFont val="Calibri"/>
        <family val="2"/>
        <scheme val="minor"/>
      </rPr>
      <t>OVERALL</t>
    </r>
    <r>
      <rPr>
        <sz val="11"/>
        <color rgb="FFFF0000"/>
        <rFont val="Calibri"/>
        <family val="2"/>
        <scheme val="minor"/>
      </rPr>
      <t xml:space="preserve"> RANKING</t>
    </r>
  </si>
  <si>
    <r>
      <t xml:space="preserve">Those centers with a higher vol of TXs were 0.3% more likely to be ranked higher in 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ranking</t>
    </r>
  </si>
  <si>
    <t xml:space="preserve">TX centers with a high TX volume were 0.2% more likely to be included in FORBES </t>
  </si>
  <si>
    <t xml:space="preserve">TX centers with a longer median LOS were 32% (1-0.684=0.316) less likely to be included in FORBES </t>
  </si>
  <si>
    <t>IGNORE BELOW</t>
  </si>
  <si>
    <t>ICUatTx</t>
  </si>
  <si>
    <t>AdultStatus1</t>
  </si>
  <si>
    <t>57.97 (40.09)</t>
  </si>
  <si>
    <t>88.07 (58.26)</t>
  </si>
  <si>
    <t>1.02 (0.46)</t>
  </si>
  <si>
    <t>1.42 (0.67)</t>
  </si>
  <si>
    <t>0.91 (0.55)</t>
  </si>
  <si>
    <t>1.21 (0.73)</t>
  </si>
  <si>
    <t>8.02 (5.37)</t>
  </si>
  <si>
    <t>9.29 (9.86)</t>
  </si>
  <si>
    <t>% ICU at TX, mean (SD)</t>
  </si>
  <si>
    <t>76.19 (19.17)</t>
  </si>
  <si>
    <t>66.52 (19.06)</t>
  </si>
  <si>
    <t>% adult status 1, mean (SD)</t>
  </si>
  <si>
    <t>22.30 (15.19)</t>
  </si>
  <si>
    <t>17.47 (12.58)</t>
  </si>
  <si>
    <t>19.07 (4.99)</t>
  </si>
  <si>
    <t>18.21 (4.27)</t>
  </si>
  <si>
    <t>3 (75.00%)</t>
  </si>
  <si>
    <t>0 (0.00%)</t>
  </si>
  <si>
    <t>1 (25.00%)</t>
  </si>
  <si>
    <t>4 (100%)</t>
  </si>
  <si>
    <t>7 (46.67%)</t>
  </si>
  <si>
    <t>1 (6.67%)</t>
  </si>
  <si>
    <t>15 (100%)</t>
  </si>
  <si>
    <t>7 (38.89%)</t>
  </si>
  <si>
    <t>5 (27.78%)</t>
  </si>
  <si>
    <t>6 (33.33%)</t>
  </si>
  <si>
    <t>18 (100%)</t>
  </si>
  <si>
    <t>9 (39.13%)</t>
  </si>
  <si>
    <t>7 (30.43%)</t>
  </si>
  <si>
    <t>23 (100%)</t>
  </si>
  <si>
    <t>3 (30.00%)</t>
  </si>
  <si>
    <t>4 (40.00%)</t>
  </si>
  <si>
    <t>10 (100%)</t>
  </si>
  <si>
    <t>29 (41.43%)</t>
  </si>
  <si>
    <t>22 (31.43%)</t>
  </si>
  <si>
    <t>19 (27.14%)</t>
  </si>
  <si>
    <t>70 (100%)</t>
  </si>
  <si>
    <t>2 (50.00%)</t>
  </si>
  <si>
    <t>5 (33.33%)</t>
  </si>
  <si>
    <t>8 (53.33%)</t>
  </si>
  <si>
    <t>2 (11.11%)</t>
  </si>
  <si>
    <t>3 (16.67%)</t>
  </si>
  <si>
    <t>2 (8.70%)</t>
  </si>
  <si>
    <t>3 (13.04%)</t>
  </si>
  <si>
    <t>10 (43.48%)</t>
  </si>
  <si>
    <t>8 (34.78%)</t>
  </si>
  <si>
    <t>2 (20.00%)</t>
  </si>
  <si>
    <t>6 (60.00%)</t>
  </si>
  <si>
    <t>5 (7.14%)</t>
  </si>
  <si>
    <t>15 (21.43%)</t>
  </si>
  <si>
    <t>28 (40.00%)</t>
  </si>
  <si>
    <t>SRTR ranking: 2</t>
  </si>
  <si>
    <t>SRTR ranking: 3</t>
  </si>
  <si>
    <t>SRTR ranking: 4</t>
  </si>
  <si>
    <t>SRTR ranking: 5</t>
  </si>
  <si>
    <t>Tx rate ratio</t>
  </si>
  <si>
    <t>% ICU at TX</t>
  </si>
  <si>
    <t>% adult status 1</t>
  </si>
  <si>
    <t>HEART</t>
  </si>
  <si>
    <t>Ranking similarity is rejected =&gt; No association between the two rankings</t>
  </si>
  <si>
    <t>There is no ranking concordance between the two rankings</t>
  </si>
  <si>
    <r>
      <t xml:space="preserve">2. Ordinal logistic regression: FORBES </t>
    </r>
    <r>
      <rPr>
        <b/>
        <sz val="11"/>
        <color theme="1"/>
        <rFont val="Calibri"/>
        <family val="2"/>
        <scheme val="minor"/>
      </rPr>
      <t>overall</t>
    </r>
    <r>
      <rPr>
        <sz val="11"/>
        <color theme="1"/>
        <rFont val="Calibri"/>
        <scheme val="minor"/>
      </rPr>
      <t xml:space="preserve"> ranking</t>
    </r>
  </si>
  <si>
    <r>
      <t xml:space="preserve">3. Ordinal logistic regression: FORBES </t>
    </r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scheme val="minor"/>
      </rPr>
      <t xml:space="preserve"> ranking</t>
    </r>
  </si>
  <si>
    <r>
      <t xml:space="preserve">Centers with higher OAR overall were 75.3% less likely to have a higher FORBES </t>
    </r>
    <r>
      <rPr>
        <b/>
        <sz val="11"/>
        <color rgb="FFFF0000"/>
        <rFont val="Calibri"/>
        <family val="2"/>
        <scheme val="minor"/>
      </rPr>
      <t>overall</t>
    </r>
    <r>
      <rPr>
        <sz val="11"/>
        <color rgb="FFFF0000"/>
        <rFont val="Calibri"/>
        <family val="2"/>
        <scheme val="minor"/>
      </rPr>
      <t xml:space="preserve"> ranking</t>
    </r>
  </si>
  <si>
    <r>
      <t xml:space="preserve">Centers with SRTR ranking 5 were more likely to have a higher 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ranking compared with centers with SRTR ranking 1, but the estimate is imprecise</t>
    </r>
  </si>
  <si>
    <r>
      <t xml:space="preserve">Centers with a higher vol of TXs were 1.5% more likely to be ranked higher in FORBES </t>
    </r>
    <r>
      <rPr>
        <b/>
        <sz val="11"/>
        <color rgb="FFFF0000"/>
        <rFont val="Calibri"/>
        <family val="2"/>
        <scheme val="minor"/>
      </rPr>
      <t>overall</t>
    </r>
    <r>
      <rPr>
        <sz val="11"/>
        <color rgb="FFFF0000"/>
        <rFont val="Calibri"/>
        <family val="2"/>
        <scheme val="minor"/>
      </rPr>
      <t xml:space="preserve"> ranking</t>
    </r>
  </si>
  <si>
    <r>
      <t xml:space="preserve">Centers with a higher vol of TXs were 1.5% more likely to be ranked higher in 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ranking</t>
    </r>
  </si>
  <si>
    <r>
      <t xml:space="preserve">Centers with higher OAR overall were 72.5% less likely to have a higher 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ranking</t>
    </r>
  </si>
  <si>
    <r>
      <t xml:space="preserve">Centers with a higher percentage of adult status 1 patients were 4.5% less likely to have a higher 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ranking</t>
    </r>
  </si>
  <si>
    <t>Transplant centers listed in FORBES have a higher Tx rate ratio</t>
  </si>
  <si>
    <t>Transplant centers listed in FORBES have higher transplant volume</t>
  </si>
  <si>
    <t>Transplant centers listed in FORBES have higher OAR overall</t>
  </si>
  <si>
    <t>Transplant centers not listed in FORBES have a higher % ICU at transplant</t>
  </si>
  <si>
    <t>MELD31_40</t>
  </si>
  <si>
    <t>179.80 (119.92)</t>
  </si>
  <si>
    <t>204.46 (137.28)</t>
  </si>
  <si>
    <t>1.16 (0.72)</t>
  </si>
  <si>
    <t>1.22 (0.73)</t>
  </si>
  <si>
    <t>0.94 (0.38)</t>
  </si>
  <si>
    <t>1.01 (0.49)</t>
  </si>
  <si>
    <t>15.39 (8.45)</t>
  </si>
  <si>
    <t>12.81 (5.28)</t>
  </si>
  <si>
    <t>12.92 (4.67)</t>
  </si>
  <si>
    <t>14.06 (5.89)</t>
  </si>
  <si>
    <t>% MELD 31-40, mean (SD)</t>
  </si>
  <si>
    <t>17.57 (8.33)</t>
  </si>
  <si>
    <t>12.42 (6.29)</t>
  </si>
  <si>
    <t>11.41 (3.47)</t>
  </si>
  <si>
    <t>10.34 (3.96)</t>
  </si>
  <si>
    <t>2 (25.00%)</t>
  </si>
  <si>
    <t>4 (50.00%)</t>
  </si>
  <si>
    <t>8 (100%)</t>
  </si>
  <si>
    <t>6 (31.58%)</t>
  </si>
  <si>
    <t>10 (52.63%)</t>
  </si>
  <si>
    <t>3 (15.79%)</t>
  </si>
  <si>
    <t>19 (100%)</t>
  </si>
  <si>
    <t>6 (50.00%)</t>
  </si>
  <si>
    <t>2 (16.67%)</t>
  </si>
  <si>
    <t>4 (33.33%)</t>
  </si>
  <si>
    <t>12 (100%)</t>
  </si>
  <si>
    <t>7 (41.18%)</t>
  </si>
  <si>
    <t>6 (35.29%)</t>
  </si>
  <si>
    <t>4 (23.53%)</t>
  </si>
  <si>
    <t>17 (100%)</t>
  </si>
  <si>
    <t>3 (20.00%)</t>
  </si>
  <si>
    <t>28 (39.44%)</t>
  </si>
  <si>
    <t>25 (35.21%)</t>
  </si>
  <si>
    <t>18 (25.35%)</t>
  </si>
  <si>
    <t>71 (100%)</t>
  </si>
  <si>
    <t>1 (12.50%)</t>
  </si>
  <si>
    <t>3 (37.50%)</t>
  </si>
  <si>
    <t>7 (36.84%)</t>
  </si>
  <si>
    <t>8 (42.11%)</t>
  </si>
  <si>
    <t>4 (21.05%)</t>
  </si>
  <si>
    <t>1 (8.33%)</t>
  </si>
  <si>
    <t>3 (25.00%)</t>
  </si>
  <si>
    <t>5 (29.41%)</t>
  </si>
  <si>
    <t>4 (26.67%)</t>
  </si>
  <si>
    <t>6 (40.00%)</t>
  </si>
  <si>
    <t>2 (2.82%)</t>
  </si>
  <si>
    <t>23 (32.39%)</t>
  </si>
  <si>
    <t>21 (29.58%)</t>
  </si>
  <si>
    <t>LIVER</t>
  </si>
  <si>
    <t>&lt;0.001</t>
  </si>
  <si>
    <r>
      <t xml:space="preserve">Q. Are centers ranked high (low) in SRTR also ranked higher (lower) in FORBES </t>
    </r>
    <r>
      <rPr>
        <b/>
        <sz val="11"/>
        <color theme="1"/>
        <rFont val="Calibri"/>
        <family val="2"/>
        <scheme val="minor"/>
      </rPr>
      <t>overall</t>
    </r>
    <r>
      <rPr>
        <sz val="11"/>
        <color theme="1"/>
        <rFont val="Calibri"/>
        <family val="2"/>
        <scheme val="minor"/>
      </rPr>
      <t xml:space="preserve"> rating?</t>
    </r>
  </si>
  <si>
    <r>
      <t xml:space="preserve">Q. Are centers ranked high (low) in SRTR also ranked higher (lower) in FORBES </t>
    </r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 xml:space="preserve"> rating?</t>
    </r>
  </si>
  <si>
    <r>
      <t xml:space="preserve">Heart transplant centers with higher SRTR rankings also have higher Forbes </t>
    </r>
    <r>
      <rPr>
        <b/>
        <sz val="11"/>
        <color rgb="FFFF0000"/>
        <rFont val="Calibri"/>
        <family val="2"/>
        <scheme val="minor"/>
      </rPr>
      <t>outcome</t>
    </r>
    <r>
      <rPr>
        <sz val="11"/>
        <color rgb="FFFF0000"/>
        <rFont val="Calibri"/>
        <family val="2"/>
        <scheme val="minor"/>
      </rPr>
      <t xml:space="preserve"> ratings</t>
    </r>
  </si>
  <si>
    <t>Centers with higher OAR overall were 78.2% less likely to be included in FORBES ranking</t>
  </si>
  <si>
    <t>Centers with a higher percentage of MELD 31-40 patients were 9.5% less likely to be included in FORBES ranking</t>
  </si>
  <si>
    <t>Transplant centers not listed in FORBES have a higher % MELD 31-40</t>
  </si>
  <si>
    <t>Transplant centers not listed in FORBES have a higher PreTx mortality rate</t>
  </si>
  <si>
    <r>
      <t xml:space="preserve">Q. Are centers ranked high (low) in SRTR also ranked higher (lower) in FORBES </t>
    </r>
    <r>
      <rPr>
        <b/>
        <sz val="11"/>
        <color theme="1"/>
        <rFont val="Calibri"/>
        <family val="2"/>
        <scheme val="minor"/>
      </rPr>
      <t>overall</t>
    </r>
    <r>
      <rPr>
        <sz val="11"/>
        <color theme="1"/>
        <rFont val="Calibri"/>
        <scheme val="minor"/>
      </rPr>
      <t xml:space="preserve"> rating?</t>
    </r>
  </si>
  <si>
    <r>
      <t xml:space="preserve">Q. Are centers ranked high (low) in SRTR also ranked higher (lower) in FORBES </t>
    </r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scheme val="minor"/>
      </rPr>
      <t xml:space="preserve"> rating?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</si>
</sst>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b/>
      <sz val="10"/>
      <color rgb="FFFFFFFF"/>
      <name val="Times New Roman"/>
    </font>
    <font>
      <sz val="11"/>
      <color theme="1"/>
      <name val="Calibri"/>
    </font>
    <font>
      <b/>
      <sz val="9"/>
      <color rgb="FFFFFFFF"/>
      <name val="Times New Roman"/>
    </font>
    <font>
      <sz val="11"/>
      <color rgb="FF000000"/>
      <name val="Times New Roman"/>
    </font>
    <font>
      <sz val="11"/>
      <color theme="1"/>
      <name val="Calibri"/>
      <scheme val="minor"/>
    </font>
    <font>
      <b/>
      <sz val="11"/>
      <color rgb="FF000000"/>
      <name val="Times New Roman"/>
    </font>
    <font>
      <sz val="11"/>
      <color rgb="FFFFFFFF"/>
      <name val="Times New Roman"/>
    </font>
    <font>
      <b/>
      <sz val="11"/>
      <color rgb="FFFFFFFF"/>
      <name val="Times New Roman"/>
    </font>
    <font>
      <sz val="11"/>
      <color rgb="FFFFFFFF"/>
      <name val="Calibri"/>
    </font>
    <font>
      <sz val="12"/>
      <color rgb="FF212529"/>
      <name val="Times New Roman"/>
    </font>
    <font>
      <sz val="12"/>
      <color rgb="FFFFFFFF"/>
      <name val="Times New Roman"/>
    </font>
    <font>
      <b/>
      <sz val="12"/>
      <color theme="1"/>
      <name val="Times New Roman"/>
    </font>
    <font>
      <sz val="9"/>
      <color theme="1"/>
      <name val="Times New Roman"/>
    </font>
    <font>
      <sz val="9"/>
      <color rgb="FF000000"/>
      <name val="Times New Roman"/>
    </font>
    <font>
      <sz val="9"/>
      <color rgb="FFC00000"/>
      <name val="Times New Roman"/>
    </font>
    <font>
      <b/>
      <sz val="9"/>
      <color rgb="FF000000"/>
      <name val="Times New Roman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FFFF"/>
      <name val="Times New Roman"/>
      <family val="1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5C3A8A"/>
        <bgColor rgb="FF5C3A8A"/>
      </patternFill>
    </fill>
    <fill>
      <patternFill patternType="solid">
        <fgColor rgb="FF1F5C6B"/>
        <bgColor rgb="FF1F5C6B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7B1F1F"/>
        <bgColor rgb="FF7B1F1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5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0" fontId="6" fillId="9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9" borderId="2" xfId="0" applyFont="1" applyFill="1" applyBorder="1"/>
    <xf numFmtId="3" fontId="10" fillId="9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3" fontId="6" fillId="9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11" fillId="0" borderId="2" xfId="0" applyFont="1" applyBorder="1"/>
    <xf numFmtId="0" fontId="12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vertical="center"/>
    </xf>
    <xf numFmtId="0" fontId="14" fillId="11" borderId="2" xfId="0" applyFont="1" applyFill="1" applyBorder="1" applyAlignment="1">
      <alignment vertical="center"/>
    </xf>
    <xf numFmtId="0" fontId="6" fillId="0" borderId="0" xfId="0" applyFont="1"/>
    <xf numFmtId="0" fontId="13" fillId="11" borderId="2" xfId="0" applyFont="1" applyFill="1" applyBorder="1"/>
    <xf numFmtId="0" fontId="13" fillId="8" borderId="2" xfId="0" applyFont="1" applyFill="1" applyBorder="1" applyAlignment="1">
      <alignment horizontal="center" vertical="center"/>
    </xf>
    <xf numFmtId="3" fontId="13" fillId="8" borderId="2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/>
    </xf>
    <xf numFmtId="0" fontId="15" fillId="8" borderId="1" xfId="0" applyFont="1" applyFill="1" applyBorder="1"/>
    <xf numFmtId="164" fontId="6" fillId="8" borderId="2" xfId="0" applyNumberFormat="1" applyFont="1" applyFill="1" applyBorder="1" applyAlignment="1">
      <alignment horizontal="center" vertical="center"/>
    </xf>
    <xf numFmtId="0" fontId="13" fillId="8" borderId="1" xfId="0" applyFont="1" applyFill="1" applyBorder="1"/>
    <xf numFmtId="2" fontId="6" fillId="8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8" fillId="0" borderId="2" xfId="0" applyFont="1" applyBorder="1"/>
    <xf numFmtId="0" fontId="5" fillId="12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3" fontId="6" fillId="9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3" fontId="6" fillId="13" borderId="2" xfId="0" applyNumberFormat="1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9" borderId="2" xfId="0" applyFont="1" applyFill="1" applyBorder="1" applyAlignment="1">
      <alignment horizontal="right"/>
    </xf>
    <xf numFmtId="3" fontId="10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12" fillId="10" borderId="2" xfId="0" applyFont="1" applyFill="1" applyBorder="1"/>
    <xf numFmtId="0" fontId="13" fillId="11" borderId="2" xfId="0" applyFont="1" applyFill="1" applyBorder="1" applyAlignment="1">
      <alignment horizontal="left"/>
    </xf>
    <xf numFmtId="0" fontId="8" fillId="11" borderId="2" xfId="0" applyFont="1" applyFill="1" applyBorder="1"/>
    <xf numFmtId="0" fontId="14" fillId="11" borderId="2" xfId="0" applyFont="1" applyFill="1" applyBorder="1" applyAlignment="1">
      <alignment horizontal="center"/>
    </xf>
    <xf numFmtId="0" fontId="14" fillId="11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3" fontId="8" fillId="0" borderId="2" xfId="0" applyNumberFormat="1" applyFont="1" applyBorder="1"/>
    <xf numFmtId="3" fontId="6" fillId="11" borderId="2" xfId="0" applyNumberFormat="1" applyFont="1" applyFill="1" applyBorder="1" applyAlignment="1">
      <alignment horizontal="center"/>
    </xf>
    <xf numFmtId="3" fontId="8" fillId="11" borderId="2" xfId="0" applyNumberFormat="1" applyFont="1" applyFill="1" applyBorder="1"/>
    <xf numFmtId="0" fontId="14" fillId="11" borderId="2" xfId="0" applyFont="1" applyFill="1" applyBorder="1" applyAlignment="1">
      <alignment horizontal="left"/>
    </xf>
    <xf numFmtId="3" fontId="13" fillId="11" borderId="2" xfId="0" applyNumberFormat="1" applyFont="1" applyFill="1" applyBorder="1" applyAlignment="1">
      <alignment horizontal="center"/>
    </xf>
    <xf numFmtId="0" fontId="15" fillId="11" borderId="2" xfId="0" applyFont="1" applyFill="1" applyBorder="1"/>
    <xf numFmtId="2" fontId="6" fillId="11" borderId="2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9" borderId="2" xfId="0" applyFont="1" applyFill="1" applyBorder="1" applyAlignment="1">
      <alignment horizontal="left"/>
    </xf>
    <xf numFmtId="0" fontId="6" fillId="9" borderId="2" xfId="0" applyFont="1" applyFill="1" applyBorder="1" applyAlignment="1">
      <alignment vertical="center" wrapText="1"/>
    </xf>
    <xf numFmtId="0" fontId="10" fillId="9" borderId="2" xfId="0" applyFont="1" applyFill="1" applyBorder="1"/>
    <xf numFmtId="0" fontId="16" fillId="9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13" fillId="8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/>
    </xf>
    <xf numFmtId="0" fontId="17" fillId="0" borderId="2" xfId="0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0" fontId="13" fillId="8" borderId="2" xfId="0" applyFont="1" applyFill="1" applyBorder="1" applyAlignment="1">
      <alignment horizontal="left"/>
    </xf>
    <xf numFmtId="0" fontId="9" fillId="6" borderId="10" xfId="0" applyFont="1" applyFill="1" applyBorder="1" applyAlignment="1">
      <alignment horizontal="center" vertical="center" wrapText="1"/>
    </xf>
    <xf numFmtId="0" fontId="19" fillId="14" borderId="10" xfId="0" applyFont="1" applyFill="1" applyBorder="1" applyAlignment="1">
      <alignment horizontal="left" vertical="center"/>
    </xf>
    <xf numFmtId="0" fontId="20" fillId="14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9" fillId="15" borderId="10" xfId="0" applyFont="1" applyFill="1" applyBorder="1" applyAlignment="1">
      <alignment horizontal="center" vertical="center" wrapText="1"/>
    </xf>
    <xf numFmtId="0" fontId="21" fillId="14" borderId="10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4" fillId="0" borderId="4" xfId="0" applyFont="1" applyBorder="1"/>
    <xf numFmtId="0" fontId="24" fillId="0" borderId="0" xfId="0" applyFont="1"/>
    <xf numFmtId="0" fontId="24" fillId="0" borderId="2" xfId="0" applyFont="1" applyBorder="1"/>
    <xf numFmtId="0" fontId="24" fillId="0" borderId="2" xfId="0" applyFont="1" applyBorder="1" applyAlignment="1">
      <alignment horizontal="center"/>
    </xf>
    <xf numFmtId="3" fontId="24" fillId="0" borderId="2" xfId="0" applyNumberFormat="1" applyFont="1" applyBorder="1" applyAlignment="1">
      <alignment horizontal="center"/>
    </xf>
    <xf numFmtId="2" fontId="24" fillId="0" borderId="2" xfId="0" applyNumberFormat="1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right"/>
    </xf>
    <xf numFmtId="0" fontId="24" fillId="0" borderId="2" xfId="0" applyFont="1" applyBorder="1" applyAlignment="1">
      <alignment horizontal="right"/>
    </xf>
    <xf numFmtId="3" fontId="25" fillId="0" borderId="2" xfId="0" applyNumberFormat="1" applyFont="1" applyBorder="1" applyAlignment="1">
      <alignment horizontal="center"/>
    </xf>
    <xf numFmtId="0" fontId="26" fillId="0" borderId="4" xfId="0" applyFont="1" applyBorder="1"/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center" wrapText="1"/>
    </xf>
    <xf numFmtId="0" fontId="27" fillId="0" borderId="2" xfId="0" applyFont="1" applyBorder="1" applyAlignment="1">
      <alignment vertical="center" wrapText="1"/>
    </xf>
    <xf numFmtId="0" fontId="27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4" fillId="0" borderId="0" xfId="0" applyFont="1"/>
    <xf numFmtId="0" fontId="29" fillId="0" borderId="0" xfId="0" applyFont="1"/>
    <xf numFmtId="0" fontId="4" fillId="0" borderId="0" xfId="0" applyFont="1" applyAlignment="1">
      <alignment horizontal="center"/>
    </xf>
    <xf numFmtId="0" fontId="30" fillId="0" borderId="0" xfId="0" applyFont="1"/>
    <xf numFmtId="0" fontId="0" fillId="0" borderId="11" xfId="0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2" fontId="0" fillId="0" borderId="0" xfId="0" applyNumberFormat="1"/>
    <xf numFmtId="0" fontId="31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2" fillId="17" borderId="11" xfId="0" applyFont="1" applyFill="1" applyBorder="1" applyAlignment="1">
      <alignment horizontal="center"/>
    </xf>
    <xf numFmtId="0" fontId="28" fillId="0" borderId="0" xfId="0" applyFont="1"/>
    <xf numFmtId="0" fontId="4" fillId="0" borderId="0" xfId="0" applyFont="1" applyAlignment="1">
      <alignment horizontal="right"/>
    </xf>
    <xf numFmtId="165" fontId="0" fillId="0" borderId="0" xfId="0" applyNumberFormat="1"/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right"/>
    </xf>
    <xf numFmtId="165" fontId="0" fillId="0" borderId="0" xfId="0" applyNumberFormat="1" applyAlignment="1">
      <alignment horizontal="center"/>
    </xf>
    <xf numFmtId="0" fontId="28" fillId="0" borderId="0" xfId="0" applyFont="1" applyAlignment="1">
      <alignment horizontal="left"/>
    </xf>
    <xf numFmtId="0" fontId="0" fillId="0" borderId="0" xfId="0" applyAlignment="1">
      <alignment horizontal="right"/>
    </xf>
    <xf numFmtId="165" fontId="0" fillId="0" borderId="11" xfId="0" applyNumberFormat="1" applyBorder="1" applyAlignment="1">
      <alignment horizontal="center"/>
    </xf>
    <xf numFmtId="165" fontId="0" fillId="17" borderId="11" xfId="0" applyNumberFormat="1" applyFill="1" applyBorder="1" applyAlignment="1">
      <alignment horizontal="center"/>
    </xf>
    <xf numFmtId="165" fontId="0" fillId="17" borderId="0" xfId="0" applyNumberFormat="1" applyFill="1" applyAlignment="1">
      <alignment horizontal="center"/>
    </xf>
    <xf numFmtId="0" fontId="4" fillId="17" borderId="0" xfId="0" applyFont="1" applyFill="1" applyAlignment="1">
      <alignment horizontal="right"/>
    </xf>
    <xf numFmtId="0" fontId="4" fillId="17" borderId="11" xfId="0" applyFont="1" applyFill="1" applyBorder="1" applyAlignment="1">
      <alignment horizontal="right"/>
    </xf>
    <xf numFmtId="165" fontId="0" fillId="0" borderId="7" xfId="0" applyNumberFormat="1" applyBorder="1" applyAlignment="1">
      <alignment horizontal="center"/>
    </xf>
    <xf numFmtId="0" fontId="28" fillId="0" borderId="11" xfId="0" applyFont="1" applyBorder="1"/>
    <xf numFmtId="0" fontId="4" fillId="17" borderId="0" xfId="0" applyFont="1" applyFill="1"/>
    <xf numFmtId="1" fontId="0" fillId="0" borderId="12" xfId="0" applyNumberFormat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3" fillId="0" borderId="0" xfId="0" applyFont="1"/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165" fontId="0" fillId="0" borderId="13" xfId="0" applyNumberFormat="1" applyBorder="1" applyAlignment="1">
      <alignment horizontal="center"/>
    </xf>
    <xf numFmtId="0" fontId="0" fillId="17" borderId="0" xfId="0" applyFill="1" applyAlignment="1">
      <alignment horizontal="right"/>
    </xf>
    <xf numFmtId="165" fontId="2" fillId="17" borderId="0" xfId="0" applyNumberFormat="1" applyFont="1" applyFill="1" applyAlignment="1">
      <alignment horizontal="center"/>
    </xf>
    <xf numFmtId="0" fontId="2" fillId="0" borderId="0" xfId="0" applyFont="1"/>
    <xf numFmtId="165" fontId="0" fillId="0" borderId="13" xfId="0" applyNumberFormat="1" applyBorder="1" applyAlignment="1">
      <alignment horizontal="right"/>
    </xf>
    <xf numFmtId="165" fontId="0" fillId="0" borderId="13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5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14" fillId="16" borderId="1" xfId="0" applyFont="1" applyFill="1" applyBorder="1" applyAlignment="1">
      <alignment horizontal="left" vertical="center"/>
    </xf>
    <xf numFmtId="0" fontId="0" fillId="0" borderId="0" xfId="0"/>
    <xf numFmtId="0" fontId="14" fillId="6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/>
    </xf>
    <xf numFmtId="0" fontId="1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workbookViewId="0">
      <selection activeCell="E21" sqref="E21"/>
    </sheetView>
  </sheetViews>
  <sheetFormatPr defaultColWidth="14.44140625" defaultRowHeight="15" customHeight="1" x14ac:dyDescent="0.3"/>
  <cols>
    <col min="1" max="1" width="6" customWidth="1"/>
    <col min="2" max="2" width="66.5546875" customWidth="1"/>
    <col min="3" max="3" width="12.5546875" customWidth="1"/>
    <col min="4" max="4" width="18.109375" customWidth="1"/>
    <col min="5" max="5" width="20.44140625" customWidth="1"/>
    <col min="6" max="6" width="6.6640625" customWidth="1"/>
    <col min="7" max="7" width="29" customWidth="1"/>
    <col min="8" max="8" width="12.88671875" customWidth="1"/>
    <col min="9" max="9" width="10.88671875" customWidth="1"/>
    <col min="10" max="10" width="10.44140625" customWidth="1"/>
    <col min="11" max="12" width="12.88671875" customWidth="1"/>
    <col min="13" max="13" width="13.44140625" customWidth="1"/>
    <col min="14" max="26" width="8.6640625" customWidth="1"/>
  </cols>
  <sheetData>
    <row r="1" spans="1:13" ht="24.75" customHeight="1" x14ac:dyDescent="0.3">
      <c r="A1" s="1"/>
      <c r="B1" s="2" t="s">
        <v>0</v>
      </c>
      <c r="C1" s="3" t="s">
        <v>1</v>
      </c>
      <c r="D1" s="175" t="s">
        <v>2</v>
      </c>
      <c r="E1" s="176"/>
      <c r="F1" s="177"/>
      <c r="G1" s="4" t="s">
        <v>3</v>
      </c>
      <c r="H1" s="179" t="s">
        <v>4</v>
      </c>
      <c r="I1" s="177"/>
      <c r="J1" s="5" t="s">
        <v>5</v>
      </c>
      <c r="K1" s="178" t="s">
        <v>6</v>
      </c>
      <c r="L1" s="177"/>
      <c r="M1" s="6" t="s">
        <v>7</v>
      </c>
    </row>
    <row r="2" spans="1:13" ht="36" customHeight="1" x14ac:dyDescent="0.3">
      <c r="A2" s="1" t="s">
        <v>8</v>
      </c>
      <c r="B2" s="7"/>
      <c r="C2" s="7"/>
      <c r="D2" s="8" t="s">
        <v>9</v>
      </c>
      <c r="E2" s="8" t="s">
        <v>10</v>
      </c>
      <c r="F2" s="8" t="s">
        <v>11</v>
      </c>
      <c r="G2" s="2"/>
      <c r="H2" s="9" t="s">
        <v>12</v>
      </c>
      <c r="I2" s="9" t="s">
        <v>13</v>
      </c>
      <c r="J2" s="10" t="s">
        <v>14</v>
      </c>
      <c r="K2" s="11" t="s">
        <v>15</v>
      </c>
      <c r="L2" s="11" t="s">
        <v>16</v>
      </c>
      <c r="M2" s="12" t="s">
        <v>17</v>
      </c>
    </row>
    <row r="3" spans="1:13" ht="15.75" customHeight="1" x14ac:dyDescent="0.3">
      <c r="A3" s="13">
        <v>1</v>
      </c>
      <c r="B3" s="14" t="s">
        <v>18</v>
      </c>
      <c r="C3" s="15">
        <v>316</v>
      </c>
      <c r="D3" s="15">
        <v>4</v>
      </c>
      <c r="E3" s="15">
        <v>4</v>
      </c>
      <c r="F3" s="15">
        <v>5</v>
      </c>
      <c r="G3" s="16" t="s">
        <v>19</v>
      </c>
      <c r="H3" s="17">
        <v>1.9179999999999999</v>
      </c>
      <c r="I3" s="17">
        <v>1.39</v>
      </c>
      <c r="J3" s="17">
        <v>8.3000000000000007</v>
      </c>
      <c r="K3" s="18">
        <v>15.2</v>
      </c>
      <c r="L3" s="18">
        <v>16</v>
      </c>
      <c r="M3" s="18">
        <v>14</v>
      </c>
    </row>
    <row r="4" spans="1:13" ht="15.75" customHeight="1" x14ac:dyDescent="0.3">
      <c r="A4" s="13">
        <v>2</v>
      </c>
      <c r="B4" s="14" t="s">
        <v>20</v>
      </c>
      <c r="C4" s="15">
        <v>147</v>
      </c>
      <c r="D4" s="15">
        <v>3</v>
      </c>
      <c r="E4" s="15">
        <v>3</v>
      </c>
      <c r="F4" s="15">
        <v>5</v>
      </c>
      <c r="G4" s="16" t="s">
        <v>19</v>
      </c>
      <c r="H4" s="15"/>
      <c r="I4" s="17">
        <v>1.22</v>
      </c>
      <c r="J4" s="17">
        <v>11.64</v>
      </c>
      <c r="K4" s="18">
        <v>9.9</v>
      </c>
      <c r="L4" s="18">
        <v>14.3</v>
      </c>
      <c r="M4" s="18">
        <v>9.5</v>
      </c>
    </row>
    <row r="5" spans="1:13" ht="15.75" customHeight="1" x14ac:dyDescent="0.3">
      <c r="A5" s="13">
        <v>3</v>
      </c>
      <c r="B5" s="14" t="s">
        <v>21</v>
      </c>
      <c r="C5" s="15">
        <v>264</v>
      </c>
      <c r="D5" s="15">
        <v>3</v>
      </c>
      <c r="E5" s="15">
        <v>4</v>
      </c>
      <c r="F5" s="15">
        <v>5</v>
      </c>
      <c r="G5" s="16" t="s">
        <v>19</v>
      </c>
      <c r="H5" s="17">
        <v>1.546</v>
      </c>
      <c r="I5" s="17">
        <v>1.3</v>
      </c>
      <c r="J5" s="17">
        <v>9.77</v>
      </c>
      <c r="K5" s="18">
        <v>16.899999999999999</v>
      </c>
      <c r="L5" s="18">
        <v>5.7</v>
      </c>
      <c r="M5" s="18">
        <v>5</v>
      </c>
    </row>
    <row r="6" spans="1:13" ht="15.75" customHeight="1" x14ac:dyDescent="0.3">
      <c r="A6" s="13">
        <v>4</v>
      </c>
      <c r="B6" s="14" t="s">
        <v>22</v>
      </c>
      <c r="C6" s="15">
        <v>99</v>
      </c>
      <c r="D6" s="15">
        <v>3</v>
      </c>
      <c r="E6" s="15">
        <v>3</v>
      </c>
      <c r="F6" s="15">
        <v>5</v>
      </c>
      <c r="G6" s="16" t="s">
        <v>19</v>
      </c>
      <c r="H6" s="15"/>
      <c r="I6" s="17">
        <v>0.77</v>
      </c>
      <c r="J6" s="17">
        <v>12.99</v>
      </c>
      <c r="K6" s="18">
        <v>22.7</v>
      </c>
      <c r="L6" s="18">
        <v>13.9</v>
      </c>
      <c r="M6" s="18">
        <v>11</v>
      </c>
    </row>
    <row r="7" spans="1:13" ht="15.75" customHeight="1" x14ac:dyDescent="0.3">
      <c r="A7" s="19">
        <v>5</v>
      </c>
      <c r="B7" s="20" t="s">
        <v>23</v>
      </c>
      <c r="C7" s="21">
        <v>346</v>
      </c>
      <c r="D7" s="21" t="s">
        <v>24</v>
      </c>
      <c r="E7" s="21" t="s">
        <v>24</v>
      </c>
      <c r="F7" s="21">
        <v>5</v>
      </c>
      <c r="G7" s="20" t="s">
        <v>25</v>
      </c>
      <c r="H7" s="22">
        <v>1.772</v>
      </c>
      <c r="I7" s="22">
        <v>1.0900000000000001</v>
      </c>
      <c r="J7" s="22">
        <v>15.23</v>
      </c>
      <c r="K7" s="23">
        <v>15.6</v>
      </c>
      <c r="L7" s="23">
        <v>13.6</v>
      </c>
      <c r="M7" s="23">
        <v>10</v>
      </c>
    </row>
    <row r="8" spans="1:13" ht="15.75" customHeight="1" x14ac:dyDescent="0.3">
      <c r="A8" s="13">
        <v>6</v>
      </c>
      <c r="B8" s="14" t="s">
        <v>26</v>
      </c>
      <c r="C8" s="15">
        <v>386</v>
      </c>
      <c r="D8" s="15">
        <v>5</v>
      </c>
      <c r="E8" s="15">
        <v>5</v>
      </c>
      <c r="F8" s="15">
        <v>5</v>
      </c>
      <c r="G8" s="16" t="s">
        <v>19</v>
      </c>
      <c r="H8" s="17">
        <v>0.21</v>
      </c>
      <c r="I8" s="17">
        <v>1.77</v>
      </c>
      <c r="J8" s="17">
        <v>14.16</v>
      </c>
      <c r="K8" s="18">
        <v>9.4</v>
      </c>
      <c r="L8" s="18">
        <v>11.3</v>
      </c>
      <c r="M8" s="18">
        <v>8</v>
      </c>
    </row>
    <row r="9" spans="1:13" ht="15.75" customHeight="1" x14ac:dyDescent="0.3">
      <c r="A9" s="13">
        <v>7</v>
      </c>
      <c r="B9" s="14" t="s">
        <v>27</v>
      </c>
      <c r="C9" s="24">
        <v>256</v>
      </c>
      <c r="D9" s="24">
        <v>3</v>
      </c>
      <c r="E9" s="24">
        <v>3</v>
      </c>
      <c r="F9" s="15">
        <v>5</v>
      </c>
      <c r="G9" s="16" t="s">
        <v>19</v>
      </c>
      <c r="H9" s="17">
        <v>0.64</v>
      </c>
      <c r="I9" s="17">
        <v>1.6</v>
      </c>
      <c r="J9" s="17">
        <v>17.91</v>
      </c>
      <c r="K9" s="18">
        <v>7.6</v>
      </c>
      <c r="L9" s="18">
        <v>17.600000000000001</v>
      </c>
      <c r="M9" s="18">
        <v>9</v>
      </c>
    </row>
    <row r="10" spans="1:13" ht="15.75" customHeight="1" x14ac:dyDescent="0.3">
      <c r="A10" s="13">
        <v>8</v>
      </c>
      <c r="B10" s="25" t="s">
        <v>28</v>
      </c>
      <c r="C10" s="15">
        <v>57</v>
      </c>
      <c r="D10" s="15">
        <v>3</v>
      </c>
      <c r="E10" s="15">
        <v>4</v>
      </c>
      <c r="F10" s="15">
        <v>5</v>
      </c>
      <c r="G10" s="16" t="s">
        <v>19</v>
      </c>
      <c r="H10" s="17">
        <v>0.64700000000000002</v>
      </c>
      <c r="I10" s="17">
        <v>0.79</v>
      </c>
      <c r="J10" s="17">
        <v>8.15</v>
      </c>
      <c r="K10" s="18">
        <v>9.6</v>
      </c>
      <c r="L10" s="18">
        <v>19</v>
      </c>
      <c r="M10" s="18">
        <v>6</v>
      </c>
    </row>
    <row r="11" spans="1:13" ht="15.75" customHeight="1" x14ac:dyDescent="0.3">
      <c r="A11" s="19">
        <v>9</v>
      </c>
      <c r="B11" s="20" t="s">
        <v>29</v>
      </c>
      <c r="C11" s="21">
        <v>152</v>
      </c>
      <c r="D11" s="21" t="s">
        <v>24</v>
      </c>
      <c r="E11" s="21" t="s">
        <v>24</v>
      </c>
      <c r="F11" s="21">
        <v>5</v>
      </c>
      <c r="G11" s="20" t="s">
        <v>25</v>
      </c>
      <c r="H11" s="22">
        <v>1.4239999999999999</v>
      </c>
      <c r="I11" s="22">
        <v>0.6</v>
      </c>
      <c r="J11" s="22">
        <v>20.55</v>
      </c>
      <c r="K11" s="23">
        <v>9.5</v>
      </c>
      <c r="L11" s="23">
        <v>33.299999999999997</v>
      </c>
      <c r="M11" s="23">
        <v>14</v>
      </c>
    </row>
    <row r="12" spans="1:13" ht="15.75" customHeight="1" x14ac:dyDescent="0.3">
      <c r="A12" s="19">
        <v>10</v>
      </c>
      <c r="B12" s="20" t="s">
        <v>30</v>
      </c>
      <c r="C12" s="21">
        <v>79</v>
      </c>
      <c r="D12" s="21" t="s">
        <v>24</v>
      </c>
      <c r="E12" s="21" t="s">
        <v>24</v>
      </c>
      <c r="F12" s="21">
        <v>5</v>
      </c>
      <c r="G12" s="20" t="s">
        <v>25</v>
      </c>
      <c r="H12" s="22">
        <v>0.59099999999999997</v>
      </c>
      <c r="I12" s="22">
        <v>0.97</v>
      </c>
      <c r="J12" s="22">
        <v>14.83</v>
      </c>
      <c r="K12" s="23">
        <v>15.9</v>
      </c>
      <c r="L12" s="23">
        <v>9.5</v>
      </c>
      <c r="M12" s="23">
        <v>10</v>
      </c>
    </row>
    <row r="13" spans="1:13" ht="15.75" customHeight="1" x14ac:dyDescent="0.3">
      <c r="A13" s="13">
        <v>11</v>
      </c>
      <c r="B13" s="14" t="s">
        <v>31</v>
      </c>
      <c r="C13" s="15">
        <v>164</v>
      </c>
      <c r="D13" s="15">
        <v>5</v>
      </c>
      <c r="E13" s="15">
        <v>5</v>
      </c>
      <c r="F13" s="15">
        <v>5</v>
      </c>
      <c r="G13" s="16" t="s">
        <v>19</v>
      </c>
      <c r="H13" s="17">
        <v>1.1160000000000001</v>
      </c>
      <c r="I13" s="17">
        <v>0.83</v>
      </c>
      <c r="J13" s="17">
        <v>6.86</v>
      </c>
      <c r="K13" s="18">
        <v>16.7</v>
      </c>
      <c r="L13" s="18">
        <v>5.4</v>
      </c>
      <c r="M13" s="18">
        <v>10</v>
      </c>
    </row>
    <row r="14" spans="1:13" ht="15.75" customHeight="1" x14ac:dyDescent="0.3">
      <c r="A14" s="13">
        <v>12</v>
      </c>
      <c r="B14" s="14" t="s">
        <v>32</v>
      </c>
      <c r="C14" s="15">
        <v>321</v>
      </c>
      <c r="D14" s="15">
        <v>5</v>
      </c>
      <c r="E14" s="15">
        <v>5</v>
      </c>
      <c r="F14" s="15">
        <v>5</v>
      </c>
      <c r="G14" s="16" t="s">
        <v>19</v>
      </c>
      <c r="H14" s="15"/>
      <c r="I14" s="17">
        <v>1.6</v>
      </c>
      <c r="J14" s="17">
        <v>8.32</v>
      </c>
      <c r="K14" s="18">
        <v>10.5</v>
      </c>
      <c r="L14" s="18">
        <v>13</v>
      </c>
      <c r="M14" s="18">
        <v>11</v>
      </c>
    </row>
    <row r="15" spans="1:13" ht="14.4" x14ac:dyDescent="0.3">
      <c r="A15" s="13">
        <v>13</v>
      </c>
      <c r="B15" s="14" t="s">
        <v>33</v>
      </c>
      <c r="C15" s="24">
        <v>590</v>
      </c>
      <c r="D15" s="24">
        <v>5</v>
      </c>
      <c r="E15" s="24">
        <v>5</v>
      </c>
      <c r="F15" s="15">
        <v>5</v>
      </c>
      <c r="G15" s="16" t="s">
        <v>19</v>
      </c>
      <c r="H15" s="15"/>
      <c r="I15" s="17">
        <v>1.9</v>
      </c>
      <c r="J15" s="17">
        <v>4.8899999999999997</v>
      </c>
      <c r="K15" s="18">
        <v>10.4</v>
      </c>
      <c r="L15" s="18">
        <v>6.2</v>
      </c>
      <c r="M15" s="18">
        <v>6</v>
      </c>
    </row>
    <row r="16" spans="1:13" ht="15.75" customHeight="1" x14ac:dyDescent="0.3">
      <c r="A16" s="19">
        <v>14</v>
      </c>
      <c r="B16" s="26" t="s">
        <v>34</v>
      </c>
      <c r="C16" s="27">
        <v>413</v>
      </c>
      <c r="D16" s="21" t="s">
        <v>24</v>
      </c>
      <c r="E16" s="21" t="s">
        <v>24</v>
      </c>
      <c r="F16" s="21">
        <v>5</v>
      </c>
      <c r="G16" s="20" t="s">
        <v>25</v>
      </c>
      <c r="H16" s="22">
        <v>1.6319999999999999</v>
      </c>
      <c r="I16" s="22">
        <v>1.2</v>
      </c>
      <c r="J16" s="22">
        <v>12.34</v>
      </c>
      <c r="K16" s="23">
        <v>9.1999999999999993</v>
      </c>
      <c r="L16" s="23">
        <v>9.6999999999999993</v>
      </c>
      <c r="M16" s="23">
        <v>7</v>
      </c>
    </row>
    <row r="17" spans="1:13" ht="15.75" customHeight="1" x14ac:dyDescent="0.3">
      <c r="A17" s="13">
        <v>15</v>
      </c>
      <c r="B17" s="14" t="s">
        <v>35</v>
      </c>
      <c r="C17" s="28">
        <v>26</v>
      </c>
      <c r="D17" s="15">
        <v>4</v>
      </c>
      <c r="E17" s="15">
        <v>4</v>
      </c>
      <c r="F17" s="15">
        <v>5</v>
      </c>
      <c r="G17" s="16" t="s">
        <v>19</v>
      </c>
      <c r="H17" s="17">
        <v>0.95599999999999996</v>
      </c>
      <c r="I17" s="17">
        <v>0.25</v>
      </c>
      <c r="J17" s="17">
        <v>8.6999999999999993</v>
      </c>
      <c r="K17" s="18">
        <v>40</v>
      </c>
      <c r="L17" s="18">
        <v>0</v>
      </c>
      <c r="M17" s="18">
        <v>17</v>
      </c>
    </row>
    <row r="18" spans="1:13" ht="15.75" customHeight="1" x14ac:dyDescent="0.3">
      <c r="A18" s="13">
        <v>16</v>
      </c>
      <c r="B18" s="14" t="s">
        <v>36</v>
      </c>
      <c r="C18" s="24">
        <v>294</v>
      </c>
      <c r="D18" s="24">
        <v>3</v>
      </c>
      <c r="E18" s="24">
        <v>3</v>
      </c>
      <c r="F18" s="15">
        <v>5</v>
      </c>
      <c r="G18" s="16" t="s">
        <v>19</v>
      </c>
      <c r="H18" s="17">
        <v>1.645</v>
      </c>
      <c r="I18" s="17">
        <v>0.82</v>
      </c>
      <c r="J18" s="17">
        <v>13.23</v>
      </c>
      <c r="K18" s="18">
        <v>10.199999999999999</v>
      </c>
      <c r="L18" s="18">
        <v>16.600000000000001</v>
      </c>
      <c r="M18" s="18">
        <v>11</v>
      </c>
    </row>
    <row r="19" spans="1:13" ht="14.4" x14ac:dyDescent="0.3">
      <c r="A19" s="13">
        <v>17</v>
      </c>
      <c r="B19" s="14" t="s">
        <v>37</v>
      </c>
      <c r="C19" s="15">
        <v>283</v>
      </c>
      <c r="D19" s="15">
        <v>5</v>
      </c>
      <c r="E19" s="15">
        <v>5</v>
      </c>
      <c r="F19" s="15">
        <v>5</v>
      </c>
      <c r="G19" s="16" t="s">
        <v>19</v>
      </c>
      <c r="H19" s="17">
        <v>0.54</v>
      </c>
      <c r="I19" s="17">
        <v>1.5</v>
      </c>
      <c r="J19" s="17">
        <v>11.24</v>
      </c>
      <c r="K19" s="18">
        <v>11.1</v>
      </c>
      <c r="L19" s="18">
        <v>14.1</v>
      </c>
      <c r="M19" s="18">
        <v>9</v>
      </c>
    </row>
    <row r="20" spans="1:13" ht="14.4" x14ac:dyDescent="0.3">
      <c r="A20" s="13">
        <v>18</v>
      </c>
      <c r="B20" s="14" t="s">
        <v>38</v>
      </c>
      <c r="C20" s="15">
        <v>127</v>
      </c>
      <c r="D20" s="15">
        <v>3</v>
      </c>
      <c r="E20" s="15">
        <v>4</v>
      </c>
      <c r="F20" s="15">
        <v>5</v>
      </c>
      <c r="G20" s="16" t="s">
        <v>19</v>
      </c>
      <c r="H20" s="17">
        <v>0.68700000000000006</v>
      </c>
      <c r="I20" s="17">
        <v>1.22</v>
      </c>
      <c r="J20" s="17">
        <v>12.88</v>
      </c>
      <c r="K20" s="18">
        <v>12.5</v>
      </c>
      <c r="L20" s="18">
        <v>9.1</v>
      </c>
      <c r="M20" s="18">
        <v>9.5</v>
      </c>
    </row>
    <row r="21" spans="1:13" ht="15.75" customHeight="1" x14ac:dyDescent="0.3">
      <c r="A21" s="19">
        <v>19</v>
      </c>
      <c r="B21" s="20" t="s">
        <v>39</v>
      </c>
      <c r="C21" s="21">
        <v>51</v>
      </c>
      <c r="D21" s="21" t="s">
        <v>24</v>
      </c>
      <c r="E21" s="21" t="s">
        <v>24</v>
      </c>
      <c r="F21" s="21">
        <v>5</v>
      </c>
      <c r="G21" s="20" t="s">
        <v>25</v>
      </c>
      <c r="H21" s="22">
        <v>0.81299999999999994</v>
      </c>
      <c r="I21" s="22">
        <v>1.1100000000000001</v>
      </c>
      <c r="J21" s="22">
        <v>16.98</v>
      </c>
      <c r="K21" s="23">
        <v>25</v>
      </c>
      <c r="L21" s="23">
        <v>6.1</v>
      </c>
      <c r="M21" s="23">
        <v>7</v>
      </c>
    </row>
    <row r="22" spans="1:13" ht="15.75" customHeight="1" x14ac:dyDescent="0.3">
      <c r="A22" s="13">
        <v>20</v>
      </c>
      <c r="B22" s="14" t="s">
        <v>40</v>
      </c>
      <c r="C22" s="15">
        <v>174</v>
      </c>
      <c r="D22" s="15">
        <v>4</v>
      </c>
      <c r="E22" s="15">
        <v>4</v>
      </c>
      <c r="F22" s="15">
        <v>5</v>
      </c>
      <c r="G22" s="16" t="s">
        <v>19</v>
      </c>
      <c r="H22" s="17">
        <v>0.88500000000000001</v>
      </c>
      <c r="I22" s="17">
        <v>0.67</v>
      </c>
      <c r="J22" s="17">
        <v>20.91</v>
      </c>
      <c r="K22" s="18">
        <v>17.3</v>
      </c>
      <c r="L22" s="18">
        <v>20.399999999999999</v>
      </c>
      <c r="M22" s="18">
        <v>7</v>
      </c>
    </row>
    <row r="23" spans="1:13" ht="15.75" customHeight="1" x14ac:dyDescent="0.3">
      <c r="A23" s="19">
        <v>21</v>
      </c>
      <c r="B23" s="20" t="s">
        <v>41</v>
      </c>
      <c r="C23" s="21">
        <v>109</v>
      </c>
      <c r="D23" s="21" t="s">
        <v>24</v>
      </c>
      <c r="E23" s="21" t="s">
        <v>24</v>
      </c>
      <c r="F23" s="21">
        <v>4</v>
      </c>
      <c r="G23" s="20" t="s">
        <v>25</v>
      </c>
      <c r="H23" s="22">
        <v>0.84699999999999998</v>
      </c>
      <c r="I23" s="22">
        <v>0.67</v>
      </c>
      <c r="J23" s="22">
        <v>8.84</v>
      </c>
      <c r="K23" s="23">
        <v>13.3</v>
      </c>
      <c r="L23" s="23">
        <v>17.399999999999999</v>
      </c>
      <c r="M23" s="23">
        <v>7</v>
      </c>
    </row>
    <row r="24" spans="1:13" ht="15.75" customHeight="1" x14ac:dyDescent="0.3">
      <c r="A24" s="13">
        <v>22</v>
      </c>
      <c r="B24" s="14" t="s">
        <v>42</v>
      </c>
      <c r="C24" s="15">
        <v>217</v>
      </c>
      <c r="D24" s="15">
        <v>5</v>
      </c>
      <c r="E24" s="15">
        <v>5</v>
      </c>
      <c r="F24" s="15">
        <v>4</v>
      </c>
      <c r="G24" s="16" t="s">
        <v>19</v>
      </c>
      <c r="H24" s="15"/>
      <c r="I24" s="17">
        <v>1.08</v>
      </c>
      <c r="J24" s="17">
        <v>9.0500000000000007</v>
      </c>
      <c r="K24" s="18">
        <v>18.5</v>
      </c>
      <c r="L24" s="18">
        <v>13.3</v>
      </c>
      <c r="M24" s="18">
        <v>10</v>
      </c>
    </row>
    <row r="25" spans="1:13" ht="15.75" customHeight="1" x14ac:dyDescent="0.3">
      <c r="A25" s="13">
        <v>23</v>
      </c>
      <c r="B25" s="14" t="s">
        <v>43</v>
      </c>
      <c r="C25" s="15">
        <v>234</v>
      </c>
      <c r="D25" s="15">
        <v>3</v>
      </c>
      <c r="E25" s="15">
        <v>4</v>
      </c>
      <c r="F25" s="15">
        <v>4</v>
      </c>
      <c r="G25" s="16" t="s">
        <v>19</v>
      </c>
      <c r="H25" s="17">
        <v>0.72799999999999998</v>
      </c>
      <c r="I25" s="17">
        <v>1.1299999999999999</v>
      </c>
      <c r="J25" s="17">
        <v>11.15</v>
      </c>
      <c r="K25" s="18">
        <v>19.100000000000001</v>
      </c>
      <c r="L25" s="18">
        <v>16.899999999999999</v>
      </c>
      <c r="M25" s="18">
        <v>12</v>
      </c>
    </row>
    <row r="26" spans="1:13" ht="15.75" customHeight="1" x14ac:dyDescent="0.3">
      <c r="A26" s="13">
        <v>24</v>
      </c>
      <c r="B26" s="14" t="s">
        <v>44</v>
      </c>
      <c r="C26" s="15">
        <v>245</v>
      </c>
      <c r="D26" s="15">
        <v>4</v>
      </c>
      <c r="E26" s="15">
        <v>5</v>
      </c>
      <c r="F26" s="15">
        <v>4</v>
      </c>
      <c r="G26" s="16" t="s">
        <v>19</v>
      </c>
      <c r="H26" s="17">
        <v>0.72599999999999998</v>
      </c>
      <c r="I26" s="17">
        <v>0.94</v>
      </c>
      <c r="J26" s="17">
        <v>12</v>
      </c>
      <c r="K26" s="18">
        <v>13.1</v>
      </c>
      <c r="L26" s="18">
        <v>26.7</v>
      </c>
      <c r="M26" s="18">
        <v>16</v>
      </c>
    </row>
    <row r="27" spans="1:13" ht="15.75" customHeight="1" x14ac:dyDescent="0.3">
      <c r="A27" s="19">
        <v>25</v>
      </c>
      <c r="B27" s="20" t="s">
        <v>45</v>
      </c>
      <c r="C27" s="21">
        <v>71</v>
      </c>
      <c r="D27" s="21" t="s">
        <v>24</v>
      </c>
      <c r="E27" s="21" t="s">
        <v>24</v>
      </c>
      <c r="F27" s="21">
        <v>4</v>
      </c>
      <c r="G27" s="20" t="s">
        <v>25</v>
      </c>
      <c r="H27" s="22">
        <v>0.73499999999999999</v>
      </c>
      <c r="I27" s="22">
        <v>0.57999999999999996</v>
      </c>
      <c r="J27" s="22">
        <v>8.48</v>
      </c>
      <c r="K27" s="23">
        <v>13.5</v>
      </c>
      <c r="L27" s="23">
        <v>26.5</v>
      </c>
      <c r="M27" s="23">
        <v>14</v>
      </c>
    </row>
    <row r="28" spans="1:13" ht="15.75" customHeight="1" x14ac:dyDescent="0.3">
      <c r="A28" s="13">
        <v>26</v>
      </c>
      <c r="B28" s="14" t="s">
        <v>46</v>
      </c>
      <c r="C28" s="24">
        <v>372</v>
      </c>
      <c r="D28" s="24">
        <v>4</v>
      </c>
      <c r="E28" s="24">
        <v>4</v>
      </c>
      <c r="F28" s="15">
        <v>4</v>
      </c>
      <c r="G28" s="16" t="s">
        <v>19</v>
      </c>
      <c r="H28" s="17">
        <v>1.36</v>
      </c>
      <c r="I28" s="17">
        <v>1.17</v>
      </c>
      <c r="J28" s="17">
        <v>13.52</v>
      </c>
      <c r="K28" s="18">
        <v>14.8</v>
      </c>
      <c r="L28" s="18">
        <v>16</v>
      </c>
      <c r="M28" s="18">
        <v>9</v>
      </c>
    </row>
    <row r="29" spans="1:13" ht="15.75" customHeight="1" x14ac:dyDescent="0.3">
      <c r="A29" s="19">
        <v>27</v>
      </c>
      <c r="B29" s="20" t="s">
        <v>47</v>
      </c>
      <c r="C29" s="29">
        <v>24</v>
      </c>
      <c r="D29" s="21" t="s">
        <v>24</v>
      </c>
      <c r="E29" s="21" t="s">
        <v>24</v>
      </c>
      <c r="F29" s="21">
        <v>4</v>
      </c>
      <c r="G29" s="20" t="s">
        <v>25</v>
      </c>
      <c r="H29" s="21"/>
      <c r="I29" s="22">
        <v>0.19</v>
      </c>
      <c r="J29" s="22">
        <v>11.42</v>
      </c>
      <c r="K29" s="23">
        <v>0</v>
      </c>
      <c r="L29" s="23">
        <v>10.3</v>
      </c>
      <c r="M29" s="23">
        <v>16</v>
      </c>
    </row>
    <row r="30" spans="1:13" ht="15.75" customHeight="1" x14ac:dyDescent="0.3">
      <c r="A30" s="13">
        <v>28</v>
      </c>
      <c r="B30" s="25" t="s">
        <v>48</v>
      </c>
      <c r="C30" s="15">
        <v>40</v>
      </c>
      <c r="D30" s="15">
        <v>3</v>
      </c>
      <c r="E30" s="15">
        <v>4</v>
      </c>
      <c r="F30" s="15">
        <v>4</v>
      </c>
      <c r="G30" s="16" t="s">
        <v>19</v>
      </c>
      <c r="H30" s="15"/>
      <c r="I30" s="15"/>
      <c r="J30" s="17">
        <v>19.91</v>
      </c>
      <c r="K30" s="15"/>
      <c r="L30" s="18">
        <v>13</v>
      </c>
      <c r="M30" s="15"/>
    </row>
    <row r="31" spans="1:13" ht="15.75" customHeight="1" x14ac:dyDescent="0.3">
      <c r="A31" s="19">
        <v>29</v>
      </c>
      <c r="B31" s="20" t="s">
        <v>49</v>
      </c>
      <c r="C31" s="21">
        <v>285</v>
      </c>
      <c r="D31" s="21" t="s">
        <v>24</v>
      </c>
      <c r="E31" s="21" t="s">
        <v>24</v>
      </c>
      <c r="F31" s="21">
        <v>4</v>
      </c>
      <c r="G31" s="20" t="s">
        <v>25</v>
      </c>
      <c r="H31" s="22">
        <v>0.90400000000000003</v>
      </c>
      <c r="I31" s="22">
        <v>0.67</v>
      </c>
      <c r="J31" s="22">
        <v>8.5399999999999991</v>
      </c>
      <c r="K31" s="23">
        <v>10.7</v>
      </c>
      <c r="L31" s="23">
        <v>11.1</v>
      </c>
      <c r="M31" s="23">
        <v>8.5</v>
      </c>
    </row>
    <row r="32" spans="1:13" ht="15.75" customHeight="1" x14ac:dyDescent="0.3">
      <c r="A32" s="13">
        <v>30</v>
      </c>
      <c r="B32" s="25" t="s">
        <v>50</v>
      </c>
      <c r="C32" s="24">
        <v>389</v>
      </c>
      <c r="D32" s="24">
        <v>4</v>
      </c>
      <c r="E32" s="24">
        <v>5</v>
      </c>
      <c r="F32" s="15">
        <v>4</v>
      </c>
      <c r="G32" s="16" t="s">
        <v>19</v>
      </c>
      <c r="H32" s="17">
        <v>2.073</v>
      </c>
      <c r="I32" s="17">
        <v>0.67</v>
      </c>
      <c r="J32" s="17">
        <v>9.48</v>
      </c>
      <c r="K32" s="18">
        <v>15</v>
      </c>
      <c r="L32" s="18">
        <v>13.2</v>
      </c>
      <c r="M32" s="18">
        <v>25</v>
      </c>
    </row>
    <row r="33" spans="1:13" ht="15.75" customHeight="1" x14ac:dyDescent="0.3">
      <c r="A33" s="13">
        <v>31</v>
      </c>
      <c r="B33" s="14" t="s">
        <v>51</v>
      </c>
      <c r="C33" s="15">
        <v>156</v>
      </c>
      <c r="D33" s="15">
        <v>3</v>
      </c>
      <c r="E33" s="15">
        <v>3</v>
      </c>
      <c r="F33" s="15">
        <v>4</v>
      </c>
      <c r="G33" s="16" t="s">
        <v>19</v>
      </c>
      <c r="H33" s="17">
        <v>1.8839999999999999</v>
      </c>
      <c r="I33" s="17">
        <v>0.64</v>
      </c>
      <c r="J33" s="17">
        <v>24.33</v>
      </c>
      <c r="K33" s="18">
        <v>11</v>
      </c>
      <c r="L33" s="18">
        <v>10.5</v>
      </c>
      <c r="M33" s="18">
        <v>11</v>
      </c>
    </row>
    <row r="34" spans="1:13" ht="15.75" customHeight="1" x14ac:dyDescent="0.3">
      <c r="A34" s="19">
        <v>32</v>
      </c>
      <c r="B34" s="20" t="s">
        <v>52</v>
      </c>
      <c r="C34" s="29">
        <v>279</v>
      </c>
      <c r="D34" s="21" t="s">
        <v>24</v>
      </c>
      <c r="E34" s="21" t="s">
        <v>24</v>
      </c>
      <c r="F34" s="21">
        <v>4</v>
      </c>
      <c r="G34" s="20" t="s">
        <v>25</v>
      </c>
      <c r="H34" s="21"/>
      <c r="I34" s="22">
        <v>0.9</v>
      </c>
      <c r="J34" s="22">
        <v>16.93</v>
      </c>
      <c r="K34" s="23">
        <v>10.9</v>
      </c>
      <c r="L34" s="23">
        <v>7.7</v>
      </c>
      <c r="M34" s="23">
        <v>11</v>
      </c>
    </row>
    <row r="35" spans="1:13" ht="15.75" customHeight="1" x14ac:dyDescent="0.3">
      <c r="A35" s="19">
        <v>33</v>
      </c>
      <c r="B35" s="20" t="s">
        <v>53</v>
      </c>
      <c r="C35" s="21">
        <v>245</v>
      </c>
      <c r="D35" s="21" t="s">
        <v>24</v>
      </c>
      <c r="E35" s="21" t="s">
        <v>24</v>
      </c>
      <c r="F35" s="21">
        <v>4</v>
      </c>
      <c r="G35" s="20" t="s">
        <v>25</v>
      </c>
      <c r="H35" s="22">
        <v>0.83499999999999996</v>
      </c>
      <c r="I35" s="22">
        <v>0.98</v>
      </c>
      <c r="J35" s="22">
        <v>6.68</v>
      </c>
      <c r="K35" s="23">
        <v>11.3</v>
      </c>
      <c r="L35" s="23">
        <v>9.3000000000000007</v>
      </c>
      <c r="M35" s="23">
        <v>10</v>
      </c>
    </row>
    <row r="36" spans="1:13" ht="15.75" customHeight="1" x14ac:dyDescent="0.3">
      <c r="A36" s="13">
        <v>34</v>
      </c>
      <c r="B36" s="14" t="s">
        <v>54</v>
      </c>
      <c r="C36" s="15">
        <v>314</v>
      </c>
      <c r="D36" s="15">
        <v>5</v>
      </c>
      <c r="E36" s="15">
        <v>4</v>
      </c>
      <c r="F36" s="15">
        <v>4</v>
      </c>
      <c r="G36" s="16" t="s">
        <v>19</v>
      </c>
      <c r="H36" s="17">
        <v>0.85199999999999998</v>
      </c>
      <c r="I36" s="17">
        <v>1.78</v>
      </c>
      <c r="J36" s="17">
        <v>5.12</v>
      </c>
      <c r="K36" s="18">
        <v>12.2</v>
      </c>
      <c r="L36" s="18">
        <v>3.4</v>
      </c>
      <c r="M36" s="18">
        <v>10</v>
      </c>
    </row>
    <row r="37" spans="1:13" ht="15.75" customHeight="1" x14ac:dyDescent="0.3">
      <c r="A37" s="13">
        <v>35</v>
      </c>
      <c r="B37" s="14" t="s">
        <v>55</v>
      </c>
      <c r="C37" s="15">
        <v>9</v>
      </c>
      <c r="D37" s="15">
        <v>4</v>
      </c>
      <c r="E37" s="15">
        <v>3</v>
      </c>
      <c r="F37" s="15">
        <v>4</v>
      </c>
      <c r="G37" s="16" t="s">
        <v>19</v>
      </c>
      <c r="H37" s="17">
        <v>2.778</v>
      </c>
      <c r="I37" s="17">
        <v>0.53</v>
      </c>
      <c r="J37" s="17">
        <v>22.3</v>
      </c>
      <c r="K37" s="18">
        <v>12.5</v>
      </c>
      <c r="L37" s="18">
        <v>12.1</v>
      </c>
      <c r="M37" s="18">
        <v>10</v>
      </c>
    </row>
    <row r="38" spans="1:13" ht="15.75" customHeight="1" x14ac:dyDescent="0.3">
      <c r="A38" s="13">
        <v>36</v>
      </c>
      <c r="B38" s="14" t="s">
        <v>56</v>
      </c>
      <c r="C38" s="24">
        <v>277</v>
      </c>
      <c r="D38" s="24">
        <v>5</v>
      </c>
      <c r="E38" s="24">
        <v>5</v>
      </c>
      <c r="F38" s="15">
        <v>4</v>
      </c>
      <c r="G38" s="16" t="s">
        <v>19</v>
      </c>
      <c r="H38" s="17">
        <v>0.95699999999999996</v>
      </c>
      <c r="I38" s="17">
        <v>1.5</v>
      </c>
      <c r="J38" s="17">
        <v>8.99</v>
      </c>
      <c r="K38" s="18">
        <v>9.6</v>
      </c>
      <c r="L38" s="18">
        <v>8.9</v>
      </c>
      <c r="M38" s="18">
        <v>6</v>
      </c>
    </row>
    <row r="39" spans="1:13" ht="15.75" customHeight="1" x14ac:dyDescent="0.3">
      <c r="A39" s="19">
        <v>37</v>
      </c>
      <c r="B39" s="20" t="s">
        <v>57</v>
      </c>
      <c r="C39" s="29">
        <v>531</v>
      </c>
      <c r="D39" s="21" t="s">
        <v>24</v>
      </c>
      <c r="E39" s="21" t="s">
        <v>24</v>
      </c>
      <c r="F39" s="21">
        <v>4</v>
      </c>
      <c r="G39" s="20" t="s">
        <v>25</v>
      </c>
      <c r="H39" s="22">
        <v>0.70799999999999996</v>
      </c>
      <c r="I39" s="22">
        <v>1.74</v>
      </c>
      <c r="J39" s="22">
        <v>14.46</v>
      </c>
      <c r="K39" s="23">
        <v>10.1</v>
      </c>
      <c r="L39" s="23">
        <v>11.8</v>
      </c>
      <c r="M39" s="23">
        <v>9</v>
      </c>
    </row>
    <row r="40" spans="1:13" ht="15.75" customHeight="1" x14ac:dyDescent="0.3">
      <c r="A40" s="13">
        <v>38</v>
      </c>
      <c r="B40" s="14" t="s">
        <v>58</v>
      </c>
      <c r="C40" s="15">
        <v>85</v>
      </c>
      <c r="D40" s="15">
        <v>3</v>
      </c>
      <c r="E40" s="15">
        <v>4</v>
      </c>
      <c r="F40" s="15">
        <v>4</v>
      </c>
      <c r="G40" s="16" t="s">
        <v>19</v>
      </c>
      <c r="H40" s="17">
        <v>1.083</v>
      </c>
      <c r="I40" s="17">
        <v>0.86</v>
      </c>
      <c r="J40" s="17">
        <v>10.77</v>
      </c>
      <c r="K40" s="18">
        <v>11.4</v>
      </c>
      <c r="L40" s="18">
        <v>28</v>
      </c>
      <c r="M40" s="18">
        <v>12</v>
      </c>
    </row>
    <row r="41" spans="1:13" ht="15.75" customHeight="1" x14ac:dyDescent="0.3">
      <c r="A41" s="19">
        <v>39</v>
      </c>
      <c r="B41" s="20" t="s">
        <v>59</v>
      </c>
      <c r="C41" s="21">
        <v>147</v>
      </c>
      <c r="D41" s="21" t="s">
        <v>24</v>
      </c>
      <c r="E41" s="21" t="s">
        <v>24</v>
      </c>
      <c r="F41" s="21">
        <v>4</v>
      </c>
      <c r="G41" s="20" t="s">
        <v>25</v>
      </c>
      <c r="H41" s="21"/>
      <c r="I41" s="22">
        <v>0.87</v>
      </c>
      <c r="J41" s="22">
        <v>14.64</v>
      </c>
      <c r="K41" s="23">
        <v>14.1</v>
      </c>
      <c r="L41" s="23">
        <v>25</v>
      </c>
      <c r="M41" s="23">
        <v>12</v>
      </c>
    </row>
    <row r="42" spans="1:13" ht="15.75" customHeight="1" x14ac:dyDescent="0.3">
      <c r="A42" s="13">
        <v>40</v>
      </c>
      <c r="B42" s="14" t="s">
        <v>60</v>
      </c>
      <c r="C42" s="15">
        <v>246</v>
      </c>
      <c r="D42" s="15">
        <v>3</v>
      </c>
      <c r="E42" s="15">
        <v>3</v>
      </c>
      <c r="F42" s="15">
        <v>4</v>
      </c>
      <c r="G42" s="16" t="s">
        <v>19</v>
      </c>
      <c r="H42" s="15"/>
      <c r="I42" s="17">
        <v>2.5099999999999998</v>
      </c>
      <c r="J42" s="17">
        <v>8.06</v>
      </c>
      <c r="K42" s="18">
        <v>12.1</v>
      </c>
      <c r="L42" s="18">
        <v>12.3</v>
      </c>
      <c r="M42" s="18">
        <v>10</v>
      </c>
    </row>
    <row r="43" spans="1:13" ht="15.75" customHeight="1" x14ac:dyDescent="0.3">
      <c r="A43" s="13">
        <v>41</v>
      </c>
      <c r="B43" s="14" t="s">
        <v>61</v>
      </c>
      <c r="C43" s="24">
        <v>364</v>
      </c>
      <c r="D43" s="24">
        <v>4</v>
      </c>
      <c r="E43" s="24">
        <v>4</v>
      </c>
      <c r="F43" s="15">
        <v>4</v>
      </c>
      <c r="G43" s="16" t="s">
        <v>19</v>
      </c>
      <c r="H43" s="17">
        <v>0.97699999999999998</v>
      </c>
      <c r="I43" s="17">
        <v>1.01</v>
      </c>
      <c r="J43" s="17">
        <v>11.03</v>
      </c>
      <c r="K43" s="18">
        <v>15.6</v>
      </c>
      <c r="L43" s="18">
        <v>17.2</v>
      </c>
      <c r="M43" s="18">
        <v>9</v>
      </c>
    </row>
    <row r="44" spans="1:13" ht="15.75" customHeight="1" x14ac:dyDescent="0.3">
      <c r="A44" s="19">
        <v>42</v>
      </c>
      <c r="B44" s="20" t="s">
        <v>62</v>
      </c>
      <c r="C44" s="21">
        <v>199</v>
      </c>
      <c r="D44" s="21" t="s">
        <v>24</v>
      </c>
      <c r="E44" s="21" t="s">
        <v>24</v>
      </c>
      <c r="F44" s="21">
        <v>4</v>
      </c>
      <c r="G44" s="20" t="s">
        <v>25</v>
      </c>
      <c r="H44" s="22">
        <v>1.0860000000000001</v>
      </c>
      <c r="I44" s="22">
        <v>1.85</v>
      </c>
      <c r="J44" s="22">
        <v>14.71</v>
      </c>
      <c r="K44" s="23">
        <v>13.7</v>
      </c>
      <c r="L44" s="23">
        <v>12</v>
      </c>
      <c r="M44" s="23">
        <v>6</v>
      </c>
    </row>
    <row r="45" spans="1:13" ht="15.75" customHeight="1" x14ac:dyDescent="0.3">
      <c r="A45" s="19">
        <v>43</v>
      </c>
      <c r="B45" s="20" t="s">
        <v>63</v>
      </c>
      <c r="C45" s="21">
        <v>125</v>
      </c>
      <c r="D45" s="21" t="s">
        <v>24</v>
      </c>
      <c r="E45" s="21" t="s">
        <v>24</v>
      </c>
      <c r="F45" s="21">
        <v>4</v>
      </c>
      <c r="G45" s="20" t="s">
        <v>25</v>
      </c>
      <c r="H45" s="22">
        <v>0.73199999999999998</v>
      </c>
      <c r="I45" s="22">
        <v>1.31</v>
      </c>
      <c r="J45" s="22">
        <v>15.83</v>
      </c>
      <c r="K45" s="23">
        <v>16.5</v>
      </c>
      <c r="L45" s="23">
        <v>13.7</v>
      </c>
      <c r="M45" s="23">
        <v>11</v>
      </c>
    </row>
    <row r="46" spans="1:13" ht="15.75" customHeight="1" x14ac:dyDescent="0.3">
      <c r="A46" s="13">
        <v>44</v>
      </c>
      <c r="B46" s="14" t="s">
        <v>64</v>
      </c>
      <c r="C46" s="15">
        <v>11</v>
      </c>
      <c r="D46" s="15">
        <v>3</v>
      </c>
      <c r="E46" s="15">
        <v>4</v>
      </c>
      <c r="F46" s="15">
        <v>4</v>
      </c>
      <c r="G46" s="16" t="s">
        <v>19</v>
      </c>
      <c r="H46" s="17">
        <v>0.995</v>
      </c>
      <c r="I46" s="15"/>
      <c r="J46" s="17">
        <v>19.93</v>
      </c>
      <c r="K46" s="15"/>
      <c r="L46" s="18">
        <v>6</v>
      </c>
      <c r="M46" s="15"/>
    </row>
    <row r="47" spans="1:13" ht="15.75" customHeight="1" x14ac:dyDescent="0.3">
      <c r="A47" s="19">
        <v>45</v>
      </c>
      <c r="B47" s="20" t="s">
        <v>65</v>
      </c>
      <c r="C47" s="21">
        <v>165</v>
      </c>
      <c r="D47" s="21" t="s">
        <v>24</v>
      </c>
      <c r="E47" s="21" t="s">
        <v>24</v>
      </c>
      <c r="F47" s="21">
        <v>4</v>
      </c>
      <c r="G47" s="20" t="s">
        <v>25</v>
      </c>
      <c r="H47" s="22">
        <v>1.5760000000000001</v>
      </c>
      <c r="I47" s="22">
        <v>0.83</v>
      </c>
      <c r="J47" s="22">
        <v>28.53</v>
      </c>
      <c r="K47" s="23">
        <v>12.2</v>
      </c>
      <c r="L47" s="23">
        <v>22.6</v>
      </c>
      <c r="M47" s="23">
        <v>13</v>
      </c>
    </row>
    <row r="48" spans="1:13" ht="15.75" customHeight="1" x14ac:dyDescent="0.3">
      <c r="A48" s="19">
        <v>46</v>
      </c>
      <c r="B48" s="20" t="s">
        <v>66</v>
      </c>
      <c r="C48" s="21">
        <v>154</v>
      </c>
      <c r="D48" s="21" t="s">
        <v>24</v>
      </c>
      <c r="E48" s="21" t="s">
        <v>24</v>
      </c>
      <c r="F48" s="21">
        <v>4</v>
      </c>
      <c r="G48" s="20" t="s">
        <v>25</v>
      </c>
      <c r="H48" s="22">
        <v>0.753</v>
      </c>
      <c r="I48" s="22">
        <v>0.79</v>
      </c>
      <c r="J48" s="22">
        <v>12.64</v>
      </c>
      <c r="K48" s="23">
        <v>10.1</v>
      </c>
      <c r="L48" s="23">
        <v>15</v>
      </c>
      <c r="M48" s="23">
        <v>7.5</v>
      </c>
    </row>
    <row r="49" spans="1:13" ht="15.75" customHeight="1" x14ac:dyDescent="0.3">
      <c r="A49" s="13">
        <v>47</v>
      </c>
      <c r="B49" s="25" t="s">
        <v>67</v>
      </c>
      <c r="C49" s="15">
        <v>218</v>
      </c>
      <c r="D49" s="15">
        <v>4</v>
      </c>
      <c r="E49" s="15">
        <v>3</v>
      </c>
      <c r="F49" s="15">
        <v>4</v>
      </c>
      <c r="G49" s="16" t="s">
        <v>19</v>
      </c>
      <c r="H49" s="17">
        <v>0.66600000000000004</v>
      </c>
      <c r="I49" s="17">
        <v>0.98</v>
      </c>
      <c r="J49" s="17">
        <v>22.86</v>
      </c>
      <c r="K49" s="18">
        <v>9.4</v>
      </c>
      <c r="L49" s="18">
        <v>14.5</v>
      </c>
      <c r="M49" s="18">
        <v>9</v>
      </c>
    </row>
    <row r="50" spans="1:13" ht="15.75" customHeight="1" x14ac:dyDescent="0.3">
      <c r="A50" s="13">
        <v>48</v>
      </c>
      <c r="B50" s="14" t="s">
        <v>68</v>
      </c>
      <c r="C50" s="24">
        <v>384</v>
      </c>
      <c r="D50" s="24">
        <v>5</v>
      </c>
      <c r="E50" s="24">
        <v>5</v>
      </c>
      <c r="F50" s="15">
        <v>4</v>
      </c>
      <c r="G50" s="16" t="s">
        <v>19</v>
      </c>
      <c r="H50" s="17">
        <v>0.59299999999999997</v>
      </c>
      <c r="I50" s="17">
        <v>2.17</v>
      </c>
      <c r="J50" s="17">
        <v>8.32</v>
      </c>
      <c r="K50" s="18">
        <v>11.7</v>
      </c>
      <c r="L50" s="18">
        <v>3.6</v>
      </c>
      <c r="M50" s="18">
        <v>6</v>
      </c>
    </row>
    <row r="51" spans="1:13" ht="15.75" customHeight="1" x14ac:dyDescent="0.3">
      <c r="A51" s="13">
        <v>49</v>
      </c>
      <c r="B51" s="14" t="s">
        <v>69</v>
      </c>
      <c r="C51" s="15">
        <v>220</v>
      </c>
      <c r="D51" s="15">
        <v>3</v>
      </c>
      <c r="E51" s="15">
        <v>3</v>
      </c>
      <c r="F51" s="15">
        <v>4</v>
      </c>
      <c r="G51" s="16" t="s">
        <v>19</v>
      </c>
      <c r="H51" s="17">
        <v>0.80800000000000005</v>
      </c>
      <c r="I51" s="17">
        <v>1.1200000000000001</v>
      </c>
      <c r="J51" s="17">
        <v>7.82</v>
      </c>
      <c r="K51" s="18">
        <v>12</v>
      </c>
      <c r="L51" s="18">
        <v>17</v>
      </c>
      <c r="M51" s="18">
        <v>7</v>
      </c>
    </row>
    <row r="52" spans="1:13" ht="15.75" customHeight="1" x14ac:dyDescent="0.3">
      <c r="A52" s="13">
        <v>50</v>
      </c>
      <c r="B52" s="14" t="s">
        <v>70</v>
      </c>
      <c r="C52" s="15">
        <v>58</v>
      </c>
      <c r="D52" s="15">
        <v>3</v>
      </c>
      <c r="E52" s="15">
        <v>4</v>
      </c>
      <c r="F52" s="15">
        <v>3</v>
      </c>
      <c r="G52" s="16" t="s">
        <v>19</v>
      </c>
      <c r="H52" s="17">
        <v>3.9089999999999998</v>
      </c>
      <c r="I52" s="17">
        <v>0.22</v>
      </c>
      <c r="J52" s="17">
        <v>12.66</v>
      </c>
      <c r="K52" s="18">
        <v>21.4</v>
      </c>
      <c r="L52" s="18">
        <v>6.2</v>
      </c>
      <c r="M52" s="18">
        <v>11.5</v>
      </c>
    </row>
    <row r="53" spans="1:13" ht="15.75" customHeight="1" x14ac:dyDescent="0.3">
      <c r="A53" s="19">
        <v>51</v>
      </c>
      <c r="B53" s="20" t="s">
        <v>71</v>
      </c>
      <c r="C53" s="21">
        <v>179</v>
      </c>
      <c r="D53" s="21" t="s">
        <v>24</v>
      </c>
      <c r="E53" s="21" t="s">
        <v>24</v>
      </c>
      <c r="F53" s="21">
        <v>3</v>
      </c>
      <c r="G53" s="20" t="s">
        <v>25</v>
      </c>
      <c r="H53" s="22">
        <v>0.79300000000000004</v>
      </c>
      <c r="I53" s="22">
        <v>1.1599999999999999</v>
      </c>
      <c r="J53" s="22">
        <v>8.57</v>
      </c>
      <c r="K53" s="23">
        <v>14.3</v>
      </c>
      <c r="L53" s="23">
        <v>10.3</v>
      </c>
      <c r="M53" s="23">
        <v>6</v>
      </c>
    </row>
    <row r="54" spans="1:13" ht="15.75" customHeight="1" x14ac:dyDescent="0.3">
      <c r="A54" s="19">
        <v>52</v>
      </c>
      <c r="B54" s="20" t="s">
        <v>72</v>
      </c>
      <c r="C54" s="21">
        <v>138</v>
      </c>
      <c r="D54" s="21" t="s">
        <v>24</v>
      </c>
      <c r="E54" s="21" t="s">
        <v>24</v>
      </c>
      <c r="F54" s="21">
        <v>3</v>
      </c>
      <c r="G54" s="20" t="s">
        <v>25</v>
      </c>
      <c r="H54" s="22">
        <v>0.88700000000000001</v>
      </c>
      <c r="I54" s="22">
        <v>0.59</v>
      </c>
      <c r="J54" s="22">
        <v>11.04</v>
      </c>
      <c r="K54" s="23">
        <v>11.4</v>
      </c>
      <c r="L54" s="23">
        <v>21.3</v>
      </c>
      <c r="M54" s="23">
        <v>13</v>
      </c>
    </row>
    <row r="55" spans="1:13" ht="15.75" customHeight="1" x14ac:dyDescent="0.3">
      <c r="A55" s="13">
        <v>53</v>
      </c>
      <c r="B55" s="14" t="s">
        <v>73</v>
      </c>
      <c r="C55" s="15">
        <v>221</v>
      </c>
      <c r="D55" s="15">
        <v>3</v>
      </c>
      <c r="E55" s="15">
        <v>4</v>
      </c>
      <c r="F55" s="15">
        <v>3</v>
      </c>
      <c r="G55" s="16" t="s">
        <v>19</v>
      </c>
      <c r="H55" s="17">
        <v>0.96399999999999997</v>
      </c>
      <c r="I55" s="17">
        <v>0.87</v>
      </c>
      <c r="J55" s="17">
        <v>14.5</v>
      </c>
      <c r="K55" s="18">
        <v>18.600000000000001</v>
      </c>
      <c r="L55" s="18">
        <v>11.4</v>
      </c>
      <c r="M55" s="18">
        <v>12.5</v>
      </c>
    </row>
    <row r="56" spans="1:13" ht="15.75" customHeight="1" x14ac:dyDescent="0.3">
      <c r="A56" s="19">
        <v>54</v>
      </c>
      <c r="B56" s="20" t="s">
        <v>74</v>
      </c>
      <c r="C56" s="21">
        <v>192</v>
      </c>
      <c r="D56" s="21" t="s">
        <v>24</v>
      </c>
      <c r="E56" s="21" t="s">
        <v>24</v>
      </c>
      <c r="F56" s="21">
        <v>3</v>
      </c>
      <c r="G56" s="20" t="s">
        <v>25</v>
      </c>
      <c r="H56" s="21"/>
      <c r="I56" s="22">
        <v>0.76</v>
      </c>
      <c r="J56" s="22">
        <v>5.9</v>
      </c>
      <c r="K56" s="23">
        <v>11.2</v>
      </c>
      <c r="L56" s="23">
        <v>16.8</v>
      </c>
      <c r="M56" s="23">
        <v>8</v>
      </c>
    </row>
    <row r="57" spans="1:13" ht="15.75" customHeight="1" x14ac:dyDescent="0.3">
      <c r="A57" s="13">
        <v>55</v>
      </c>
      <c r="B57" s="14" t="s">
        <v>75</v>
      </c>
      <c r="C57" s="15">
        <v>34</v>
      </c>
      <c r="D57" s="15">
        <v>4</v>
      </c>
      <c r="E57" s="15">
        <v>2</v>
      </c>
      <c r="F57" s="15">
        <v>3</v>
      </c>
      <c r="G57" s="16" t="s">
        <v>19</v>
      </c>
      <c r="H57" s="17">
        <v>0.97399999999999998</v>
      </c>
      <c r="I57" s="17">
        <v>0.43</v>
      </c>
      <c r="J57" s="17">
        <v>8.31</v>
      </c>
      <c r="K57" s="18">
        <v>17.399999999999999</v>
      </c>
      <c r="L57" s="18">
        <v>29.4</v>
      </c>
      <c r="M57" s="18">
        <v>16</v>
      </c>
    </row>
    <row r="58" spans="1:13" ht="15.75" customHeight="1" x14ac:dyDescent="0.3">
      <c r="A58" s="13">
        <v>56</v>
      </c>
      <c r="B58" s="14" t="s">
        <v>76</v>
      </c>
      <c r="C58" s="24">
        <v>299</v>
      </c>
      <c r="D58" s="24">
        <v>3</v>
      </c>
      <c r="E58" s="24">
        <v>3</v>
      </c>
      <c r="F58" s="15">
        <v>3</v>
      </c>
      <c r="G58" s="16" t="s">
        <v>19</v>
      </c>
      <c r="H58" s="17">
        <v>0.52800000000000002</v>
      </c>
      <c r="I58" s="17">
        <v>1.02</v>
      </c>
      <c r="J58" s="17">
        <v>12.98</v>
      </c>
      <c r="K58" s="18">
        <v>8.9</v>
      </c>
      <c r="L58" s="18">
        <v>7.2</v>
      </c>
      <c r="M58" s="18">
        <v>9</v>
      </c>
    </row>
    <row r="59" spans="1:13" ht="15.75" customHeight="1" x14ac:dyDescent="0.3">
      <c r="A59" s="19">
        <v>57</v>
      </c>
      <c r="B59" s="26" t="s">
        <v>77</v>
      </c>
      <c r="C59" s="29">
        <v>256</v>
      </c>
      <c r="D59" s="21" t="s">
        <v>24</v>
      </c>
      <c r="E59" s="21" t="s">
        <v>24</v>
      </c>
      <c r="F59" s="21">
        <v>3</v>
      </c>
      <c r="G59" s="20" t="s">
        <v>25</v>
      </c>
      <c r="H59" s="22">
        <v>0.85799999999999998</v>
      </c>
      <c r="I59" s="22">
        <v>1.1299999999999999</v>
      </c>
      <c r="J59" s="22">
        <v>13.08</v>
      </c>
      <c r="K59" s="23">
        <v>17.5</v>
      </c>
      <c r="L59" s="23">
        <v>14.9</v>
      </c>
      <c r="M59" s="23">
        <v>9</v>
      </c>
    </row>
    <row r="60" spans="1:13" ht="15.75" customHeight="1" x14ac:dyDescent="0.3">
      <c r="A60" s="19">
        <v>58</v>
      </c>
      <c r="B60" s="20" t="s">
        <v>78</v>
      </c>
      <c r="C60" s="21">
        <v>144</v>
      </c>
      <c r="D60" s="21" t="s">
        <v>24</v>
      </c>
      <c r="E60" s="21" t="s">
        <v>24</v>
      </c>
      <c r="F60" s="21">
        <v>3</v>
      </c>
      <c r="G60" s="20" t="s">
        <v>25</v>
      </c>
      <c r="H60" s="22">
        <v>0.94899999999999995</v>
      </c>
      <c r="I60" s="22">
        <v>0.78</v>
      </c>
      <c r="J60" s="22">
        <v>19.649999999999999</v>
      </c>
      <c r="K60" s="23">
        <v>11.4</v>
      </c>
      <c r="L60" s="23">
        <v>17.100000000000001</v>
      </c>
      <c r="M60" s="23">
        <v>10</v>
      </c>
    </row>
    <row r="61" spans="1:13" ht="15.75" customHeight="1" x14ac:dyDescent="0.3">
      <c r="A61" s="13">
        <v>59</v>
      </c>
      <c r="B61" s="14" t="s">
        <v>79</v>
      </c>
      <c r="C61" s="24">
        <v>533</v>
      </c>
      <c r="D61" s="24">
        <v>5</v>
      </c>
      <c r="E61" s="24">
        <v>5</v>
      </c>
      <c r="F61" s="15">
        <v>3</v>
      </c>
      <c r="G61" s="16" t="s">
        <v>19</v>
      </c>
      <c r="H61" s="17">
        <v>1.6779999999999999</v>
      </c>
      <c r="I61" s="17">
        <v>1.34</v>
      </c>
      <c r="J61" s="17">
        <v>16.920000000000002</v>
      </c>
      <c r="K61" s="18">
        <v>14.7</v>
      </c>
      <c r="L61" s="18">
        <v>15.8</v>
      </c>
      <c r="M61" s="18">
        <v>16</v>
      </c>
    </row>
    <row r="62" spans="1:13" ht="15.75" customHeight="1" x14ac:dyDescent="0.3">
      <c r="A62" s="19">
        <v>60</v>
      </c>
      <c r="B62" s="20" t="s">
        <v>80</v>
      </c>
      <c r="C62" s="29">
        <v>40</v>
      </c>
      <c r="D62" s="21" t="s">
        <v>24</v>
      </c>
      <c r="E62" s="21" t="s">
        <v>24</v>
      </c>
      <c r="F62" s="21">
        <v>3</v>
      </c>
      <c r="G62" s="20" t="s">
        <v>25</v>
      </c>
      <c r="H62" s="22">
        <v>0.76</v>
      </c>
      <c r="I62" s="22">
        <v>0.68</v>
      </c>
      <c r="J62" s="22">
        <v>4.41</v>
      </c>
      <c r="K62" s="23">
        <v>9.1</v>
      </c>
      <c r="L62" s="23">
        <v>23.7</v>
      </c>
      <c r="M62" s="23">
        <v>15</v>
      </c>
    </row>
    <row r="63" spans="1:13" ht="15.75" customHeight="1" x14ac:dyDescent="0.3">
      <c r="A63" s="13">
        <v>61</v>
      </c>
      <c r="B63" s="25" t="s">
        <v>81</v>
      </c>
      <c r="C63" s="24">
        <v>392</v>
      </c>
      <c r="D63" s="24">
        <v>4</v>
      </c>
      <c r="E63" s="24">
        <v>4</v>
      </c>
      <c r="F63" s="15">
        <v>3</v>
      </c>
      <c r="G63" s="16" t="s">
        <v>19</v>
      </c>
      <c r="H63" s="17">
        <v>2.0310000000000001</v>
      </c>
      <c r="I63" s="17">
        <v>1.1299999999999999</v>
      </c>
      <c r="J63" s="17">
        <v>10.19</v>
      </c>
      <c r="K63" s="18">
        <v>13.6</v>
      </c>
      <c r="L63" s="18">
        <v>3.6</v>
      </c>
      <c r="M63" s="18">
        <v>8</v>
      </c>
    </row>
    <row r="64" spans="1:13" ht="15.75" customHeight="1" x14ac:dyDescent="0.3">
      <c r="A64" s="13">
        <v>62</v>
      </c>
      <c r="B64" s="14" t="s">
        <v>82</v>
      </c>
      <c r="C64" s="15">
        <v>284</v>
      </c>
      <c r="D64" s="15">
        <v>5</v>
      </c>
      <c r="E64" s="15">
        <v>5</v>
      </c>
      <c r="F64" s="15">
        <v>3</v>
      </c>
      <c r="G64" s="16" t="s">
        <v>19</v>
      </c>
      <c r="H64" s="17">
        <v>0.63300000000000001</v>
      </c>
      <c r="I64" s="17">
        <v>1.04</v>
      </c>
      <c r="J64" s="17">
        <v>8.7200000000000006</v>
      </c>
      <c r="K64" s="18">
        <v>16.5</v>
      </c>
      <c r="L64" s="18">
        <v>17.399999999999999</v>
      </c>
      <c r="M64" s="18">
        <v>9</v>
      </c>
    </row>
    <row r="65" spans="1:13" ht="15.75" customHeight="1" x14ac:dyDescent="0.3">
      <c r="A65" s="19">
        <v>63</v>
      </c>
      <c r="B65" s="20" t="s">
        <v>83</v>
      </c>
      <c r="C65" s="21">
        <v>354</v>
      </c>
      <c r="D65" s="21" t="s">
        <v>24</v>
      </c>
      <c r="E65" s="21" t="s">
        <v>24</v>
      </c>
      <c r="F65" s="21">
        <v>3</v>
      </c>
      <c r="G65" s="20" t="s">
        <v>25</v>
      </c>
      <c r="H65" s="22">
        <v>4.5179999999999998</v>
      </c>
      <c r="I65" s="22">
        <v>1.37</v>
      </c>
      <c r="J65" s="22">
        <v>24.9</v>
      </c>
      <c r="K65" s="23">
        <v>13.9</v>
      </c>
      <c r="L65" s="23">
        <v>9.3000000000000007</v>
      </c>
      <c r="M65" s="23">
        <v>7</v>
      </c>
    </row>
    <row r="66" spans="1:13" ht="15.75" customHeight="1" x14ac:dyDescent="0.3">
      <c r="A66" s="13">
        <v>64</v>
      </c>
      <c r="B66" s="14" t="s">
        <v>84</v>
      </c>
      <c r="C66" s="15">
        <v>52</v>
      </c>
      <c r="D66" s="15">
        <v>3</v>
      </c>
      <c r="E66" s="15">
        <v>3</v>
      </c>
      <c r="F66" s="15">
        <v>3</v>
      </c>
      <c r="G66" s="16" t="s">
        <v>19</v>
      </c>
      <c r="H66" s="17">
        <v>0.83699999999999997</v>
      </c>
      <c r="I66" s="17">
        <v>0.46</v>
      </c>
      <c r="J66" s="17">
        <v>17.91</v>
      </c>
      <c r="K66" s="18">
        <v>15</v>
      </c>
      <c r="L66" s="18">
        <v>0</v>
      </c>
      <c r="M66" s="18">
        <v>7.5</v>
      </c>
    </row>
    <row r="67" spans="1:13" ht="15.75" customHeight="1" x14ac:dyDescent="0.3">
      <c r="A67" s="19">
        <v>65</v>
      </c>
      <c r="B67" s="20" t="s">
        <v>85</v>
      </c>
      <c r="C67" s="21">
        <v>154</v>
      </c>
      <c r="D67" s="21" t="s">
        <v>24</v>
      </c>
      <c r="E67" s="21" t="s">
        <v>24</v>
      </c>
      <c r="F67" s="21">
        <v>3</v>
      </c>
      <c r="G67" s="20" t="s">
        <v>25</v>
      </c>
      <c r="H67" s="22">
        <v>0.623</v>
      </c>
      <c r="I67" s="22">
        <v>0.83</v>
      </c>
      <c r="J67" s="22">
        <v>18.93</v>
      </c>
      <c r="K67" s="23">
        <v>15.5</v>
      </c>
      <c r="L67" s="23">
        <v>15.1</v>
      </c>
      <c r="M67" s="23">
        <v>10</v>
      </c>
    </row>
    <row r="68" spans="1:13" ht="15.75" customHeight="1" x14ac:dyDescent="0.3">
      <c r="A68" s="19">
        <v>66</v>
      </c>
      <c r="B68" s="20" t="s">
        <v>86</v>
      </c>
      <c r="C68" s="21">
        <v>112</v>
      </c>
      <c r="D68" s="21" t="s">
        <v>24</v>
      </c>
      <c r="E68" s="21" t="s">
        <v>24</v>
      </c>
      <c r="F68" s="21">
        <v>3</v>
      </c>
      <c r="G68" s="20" t="s">
        <v>25</v>
      </c>
      <c r="H68" s="22">
        <v>0.63800000000000001</v>
      </c>
      <c r="I68" s="22">
        <v>0.62</v>
      </c>
      <c r="J68" s="22">
        <v>7.67</v>
      </c>
      <c r="K68" s="23">
        <v>14.3</v>
      </c>
      <c r="L68" s="23">
        <v>26</v>
      </c>
      <c r="M68" s="23">
        <v>16.5</v>
      </c>
    </row>
    <row r="69" spans="1:13" ht="15.75" customHeight="1" x14ac:dyDescent="0.3">
      <c r="A69" s="13">
        <v>67</v>
      </c>
      <c r="B69" s="14" t="s">
        <v>87</v>
      </c>
      <c r="C69" s="24">
        <v>495</v>
      </c>
      <c r="D69" s="24">
        <v>5</v>
      </c>
      <c r="E69" s="24">
        <v>5</v>
      </c>
      <c r="F69" s="15">
        <v>3</v>
      </c>
      <c r="G69" s="16" t="s">
        <v>19</v>
      </c>
      <c r="H69" s="17">
        <v>3.98</v>
      </c>
      <c r="I69" s="17">
        <v>1.55</v>
      </c>
      <c r="J69" s="17">
        <v>21.59</v>
      </c>
      <c r="K69" s="18">
        <v>14</v>
      </c>
      <c r="L69" s="18">
        <v>14.4</v>
      </c>
      <c r="M69" s="18">
        <v>13</v>
      </c>
    </row>
    <row r="70" spans="1:13" ht="15.75" customHeight="1" x14ac:dyDescent="0.3">
      <c r="A70" s="13">
        <v>68</v>
      </c>
      <c r="B70" s="14" t="s">
        <v>88</v>
      </c>
      <c r="C70" s="15">
        <v>127</v>
      </c>
      <c r="D70" s="15">
        <v>5</v>
      </c>
      <c r="E70" s="15">
        <v>5</v>
      </c>
      <c r="F70" s="15">
        <v>3</v>
      </c>
      <c r="G70" s="16" t="s">
        <v>19</v>
      </c>
      <c r="H70" s="17">
        <v>0.74299999999999999</v>
      </c>
      <c r="I70" s="17">
        <v>0.68</v>
      </c>
      <c r="J70" s="17">
        <v>11.14</v>
      </c>
      <c r="K70" s="18">
        <v>18</v>
      </c>
      <c r="L70" s="18">
        <v>14.3</v>
      </c>
      <c r="M70" s="18">
        <v>10</v>
      </c>
    </row>
    <row r="71" spans="1:13" ht="15.75" customHeight="1" x14ac:dyDescent="0.3">
      <c r="A71" s="13">
        <v>69</v>
      </c>
      <c r="B71" s="14" t="s">
        <v>89</v>
      </c>
      <c r="C71" s="15">
        <v>47</v>
      </c>
      <c r="D71" s="15">
        <v>3</v>
      </c>
      <c r="E71" s="15">
        <v>4</v>
      </c>
      <c r="F71" s="15">
        <v>3</v>
      </c>
      <c r="G71" s="16" t="s">
        <v>19</v>
      </c>
      <c r="H71" s="17">
        <v>1.5369999999999999</v>
      </c>
      <c r="I71" s="17">
        <v>0.63</v>
      </c>
      <c r="J71" s="17">
        <v>5.08</v>
      </c>
      <c r="K71" s="18">
        <v>8.6999999999999993</v>
      </c>
      <c r="L71" s="18">
        <v>14.7</v>
      </c>
      <c r="M71" s="18">
        <v>10</v>
      </c>
    </row>
    <row r="72" spans="1:13" ht="15.75" customHeight="1" x14ac:dyDescent="0.3">
      <c r="A72" s="13">
        <v>70</v>
      </c>
      <c r="B72" s="14" t="s">
        <v>90</v>
      </c>
      <c r="C72" s="15">
        <v>141</v>
      </c>
      <c r="D72" s="15">
        <v>3</v>
      </c>
      <c r="E72" s="15">
        <v>3</v>
      </c>
      <c r="F72" s="15">
        <v>3</v>
      </c>
      <c r="G72" s="16" t="s">
        <v>19</v>
      </c>
      <c r="H72" s="17">
        <v>1.621</v>
      </c>
      <c r="I72" s="17">
        <v>0.69</v>
      </c>
      <c r="J72" s="17">
        <v>12.06</v>
      </c>
      <c r="K72" s="18">
        <v>3.8</v>
      </c>
      <c r="L72" s="18">
        <v>11.1</v>
      </c>
      <c r="M72" s="18">
        <v>8</v>
      </c>
    </row>
    <row r="73" spans="1:13" ht="15.75" customHeight="1" x14ac:dyDescent="0.3">
      <c r="A73" s="19">
        <v>71</v>
      </c>
      <c r="B73" s="20" t="s">
        <v>91</v>
      </c>
      <c r="C73" s="21">
        <v>48</v>
      </c>
      <c r="D73" s="21" t="s">
        <v>24</v>
      </c>
      <c r="E73" s="21" t="s">
        <v>24</v>
      </c>
      <c r="F73" s="21">
        <v>3</v>
      </c>
      <c r="G73" s="20" t="s">
        <v>25</v>
      </c>
      <c r="H73" s="22">
        <v>1.365</v>
      </c>
      <c r="I73" s="22">
        <v>1.1200000000000001</v>
      </c>
      <c r="J73" s="22">
        <v>2.27</v>
      </c>
      <c r="K73" s="23">
        <v>16.7</v>
      </c>
      <c r="L73" s="23">
        <v>17.2</v>
      </c>
      <c r="M73" s="23">
        <v>20.5</v>
      </c>
    </row>
    <row r="74" spans="1:13" ht="15.75" customHeight="1" x14ac:dyDescent="0.3">
      <c r="A74" s="19">
        <v>72</v>
      </c>
      <c r="B74" s="20" t="s">
        <v>92</v>
      </c>
      <c r="C74" s="29">
        <v>276</v>
      </c>
      <c r="D74" s="21" t="s">
        <v>24</v>
      </c>
      <c r="E74" s="21" t="s">
        <v>24</v>
      </c>
      <c r="F74" s="21">
        <v>2</v>
      </c>
      <c r="G74" s="20" t="s">
        <v>25</v>
      </c>
      <c r="H74" s="22">
        <v>0.995</v>
      </c>
      <c r="I74" s="22">
        <v>1.19</v>
      </c>
      <c r="J74" s="22">
        <v>16.75</v>
      </c>
      <c r="K74" s="23">
        <v>14.7</v>
      </c>
      <c r="L74" s="23">
        <v>11.7</v>
      </c>
      <c r="M74" s="23">
        <v>8</v>
      </c>
    </row>
    <row r="75" spans="1:13" ht="15.75" customHeight="1" x14ac:dyDescent="0.3">
      <c r="A75" s="13">
        <v>73</v>
      </c>
      <c r="B75" s="14" t="s">
        <v>93</v>
      </c>
      <c r="C75" s="15">
        <v>84</v>
      </c>
      <c r="D75" s="15">
        <v>3</v>
      </c>
      <c r="E75" s="15">
        <v>3</v>
      </c>
      <c r="F75" s="15">
        <v>2</v>
      </c>
      <c r="G75" s="16" t="s">
        <v>19</v>
      </c>
      <c r="H75" s="17">
        <v>0.56200000000000006</v>
      </c>
      <c r="I75" s="17">
        <v>0.44</v>
      </c>
      <c r="J75" s="17">
        <v>19.809999999999999</v>
      </c>
      <c r="K75" s="18">
        <v>12.5</v>
      </c>
      <c r="L75" s="18">
        <v>15.6</v>
      </c>
      <c r="M75" s="18">
        <v>9</v>
      </c>
    </row>
    <row r="76" spans="1:13" ht="15.75" customHeight="1" x14ac:dyDescent="0.3">
      <c r="A76" s="13">
        <v>74</v>
      </c>
      <c r="B76" s="14" t="s">
        <v>94</v>
      </c>
      <c r="C76" s="15">
        <v>3</v>
      </c>
      <c r="D76" s="15">
        <v>4</v>
      </c>
      <c r="E76" s="15">
        <v>3</v>
      </c>
      <c r="F76" s="15">
        <v>2</v>
      </c>
      <c r="G76" s="16" t="s">
        <v>19</v>
      </c>
      <c r="H76" s="15"/>
      <c r="I76" s="15"/>
      <c r="J76" s="17">
        <v>0</v>
      </c>
      <c r="K76" s="15"/>
      <c r="L76" s="18">
        <v>10</v>
      </c>
      <c r="M76" s="15"/>
    </row>
    <row r="77" spans="1:13" ht="15.75" customHeight="1" x14ac:dyDescent="0.3">
      <c r="A77" s="13">
        <v>75</v>
      </c>
      <c r="B77" s="14" t="s">
        <v>95</v>
      </c>
      <c r="C77" s="15">
        <v>142</v>
      </c>
      <c r="D77" s="15">
        <v>4</v>
      </c>
      <c r="E77" s="15">
        <v>4</v>
      </c>
      <c r="F77" s="15">
        <v>2</v>
      </c>
      <c r="G77" s="16" t="s">
        <v>19</v>
      </c>
      <c r="H77" s="17">
        <v>1.23</v>
      </c>
      <c r="I77" s="17">
        <v>0.65</v>
      </c>
      <c r="J77" s="17">
        <v>17.05</v>
      </c>
      <c r="K77" s="18">
        <v>16.3</v>
      </c>
      <c r="L77" s="18">
        <v>25.2</v>
      </c>
      <c r="M77" s="18">
        <v>10.5</v>
      </c>
    </row>
    <row r="78" spans="1:13" ht="15.75" customHeight="1" x14ac:dyDescent="0.3">
      <c r="A78" s="13">
        <v>76</v>
      </c>
      <c r="B78" s="14" t="s">
        <v>96</v>
      </c>
      <c r="C78" s="15">
        <v>84</v>
      </c>
      <c r="D78" s="15">
        <v>4</v>
      </c>
      <c r="E78" s="15">
        <v>4</v>
      </c>
      <c r="F78" s="15">
        <v>2</v>
      </c>
      <c r="G78" s="16" t="s">
        <v>19</v>
      </c>
      <c r="H78" s="17">
        <v>0.95399999999999996</v>
      </c>
      <c r="I78" s="17">
        <v>0.7</v>
      </c>
      <c r="J78" s="17">
        <v>16.29</v>
      </c>
      <c r="K78" s="18">
        <v>7.7</v>
      </c>
      <c r="L78" s="18">
        <v>16.899999999999999</v>
      </c>
      <c r="M78" s="18">
        <v>9</v>
      </c>
    </row>
    <row r="79" spans="1:13" ht="15.75" customHeight="1" x14ac:dyDescent="0.3">
      <c r="A79" s="19">
        <v>77</v>
      </c>
      <c r="B79" s="26" t="s">
        <v>97</v>
      </c>
      <c r="C79" s="29">
        <v>356</v>
      </c>
      <c r="D79" s="21" t="s">
        <v>24</v>
      </c>
      <c r="E79" s="21" t="s">
        <v>24</v>
      </c>
      <c r="F79" s="21">
        <v>2</v>
      </c>
      <c r="G79" s="20" t="s">
        <v>25</v>
      </c>
      <c r="H79" s="22">
        <v>2.78</v>
      </c>
      <c r="I79" s="22">
        <v>1.56</v>
      </c>
      <c r="J79" s="22">
        <v>18.399999999999999</v>
      </c>
      <c r="K79" s="23">
        <v>17.399999999999999</v>
      </c>
      <c r="L79" s="23">
        <v>13.2</v>
      </c>
      <c r="M79" s="23">
        <v>14</v>
      </c>
    </row>
    <row r="80" spans="1:13" ht="15.75" customHeight="1" x14ac:dyDescent="0.3">
      <c r="A80" s="13">
        <v>78</v>
      </c>
      <c r="B80" s="14" t="s">
        <v>98</v>
      </c>
      <c r="C80" s="15">
        <v>77</v>
      </c>
      <c r="D80" s="15">
        <v>3</v>
      </c>
      <c r="E80" s="15">
        <v>4</v>
      </c>
      <c r="F80" s="15">
        <v>2</v>
      </c>
      <c r="G80" s="16" t="s">
        <v>19</v>
      </c>
      <c r="H80" s="17">
        <v>0.96399999999999997</v>
      </c>
      <c r="I80" s="17">
        <v>1.17</v>
      </c>
      <c r="J80" s="17">
        <v>9.23</v>
      </c>
      <c r="K80" s="18">
        <v>21.2</v>
      </c>
      <c r="L80" s="18">
        <v>13.2</v>
      </c>
      <c r="M80" s="18">
        <v>13</v>
      </c>
    </row>
    <row r="81" spans="1:13" ht="15.75" customHeight="1" x14ac:dyDescent="0.3">
      <c r="A81" s="13">
        <v>79</v>
      </c>
      <c r="B81" s="14" t="s">
        <v>99</v>
      </c>
      <c r="C81" s="15">
        <v>169</v>
      </c>
      <c r="D81" s="15">
        <v>4</v>
      </c>
      <c r="E81" s="15">
        <v>4</v>
      </c>
      <c r="F81" s="15">
        <v>2</v>
      </c>
      <c r="G81" s="16" t="s">
        <v>19</v>
      </c>
      <c r="H81" s="17">
        <v>1.101</v>
      </c>
      <c r="I81" s="17">
        <v>1.59</v>
      </c>
      <c r="J81" s="17">
        <v>10.25</v>
      </c>
      <c r="K81" s="18">
        <v>8.3000000000000007</v>
      </c>
      <c r="L81" s="18">
        <v>9.4</v>
      </c>
      <c r="M81" s="18">
        <v>6</v>
      </c>
    </row>
    <row r="82" spans="1:13" ht="15.75" customHeight="1" x14ac:dyDescent="0.3">
      <c r="A82" s="13">
        <v>80</v>
      </c>
      <c r="B82" s="25" t="s">
        <v>100</v>
      </c>
      <c r="C82" s="24">
        <v>216</v>
      </c>
      <c r="D82" s="24">
        <v>4</v>
      </c>
      <c r="E82" s="15">
        <v>4</v>
      </c>
      <c r="F82" s="15">
        <v>2</v>
      </c>
      <c r="G82" s="16" t="s">
        <v>19</v>
      </c>
      <c r="H82" s="15"/>
      <c r="I82" s="17">
        <v>1.25</v>
      </c>
      <c r="J82" s="17">
        <v>19.52</v>
      </c>
      <c r="K82" s="18">
        <v>16.100000000000001</v>
      </c>
      <c r="L82" s="18">
        <v>17.5</v>
      </c>
      <c r="M82" s="18">
        <v>8</v>
      </c>
    </row>
    <row r="83" spans="1:13" ht="15.75" customHeight="1" x14ac:dyDescent="0.3">
      <c r="A83" s="13">
        <v>81</v>
      </c>
      <c r="B83" s="14" t="s">
        <v>101</v>
      </c>
      <c r="C83" s="15">
        <v>25</v>
      </c>
      <c r="D83" s="28">
        <v>4</v>
      </c>
      <c r="E83" s="28">
        <v>5</v>
      </c>
      <c r="F83" s="15">
        <v>2</v>
      </c>
      <c r="G83" s="16" t="s">
        <v>19</v>
      </c>
      <c r="H83" s="17">
        <v>0.97699999999999998</v>
      </c>
      <c r="I83" s="17">
        <v>0.24</v>
      </c>
      <c r="J83" s="17">
        <v>18.52</v>
      </c>
      <c r="K83" s="18">
        <v>0</v>
      </c>
      <c r="L83" s="18">
        <v>0</v>
      </c>
      <c r="M83" s="18">
        <v>27</v>
      </c>
    </row>
    <row r="84" spans="1:13" ht="15.75" customHeight="1" x14ac:dyDescent="0.3">
      <c r="A84" s="19">
        <v>82</v>
      </c>
      <c r="B84" s="20" t="s">
        <v>102</v>
      </c>
      <c r="C84" s="21">
        <v>25</v>
      </c>
      <c r="D84" s="21" t="s">
        <v>24</v>
      </c>
      <c r="E84" s="21" t="s">
        <v>24</v>
      </c>
      <c r="F84" s="21">
        <v>2</v>
      </c>
      <c r="G84" s="20" t="s">
        <v>25</v>
      </c>
      <c r="H84" s="22">
        <v>1.139</v>
      </c>
      <c r="I84" s="22">
        <v>1.61</v>
      </c>
      <c r="J84" s="22">
        <v>21.28</v>
      </c>
      <c r="K84" s="23">
        <v>13.8</v>
      </c>
      <c r="L84" s="23">
        <v>22.2</v>
      </c>
      <c r="M84" s="23">
        <v>14</v>
      </c>
    </row>
    <row r="85" spans="1:13" ht="15.75" customHeight="1" x14ac:dyDescent="0.3">
      <c r="A85" s="13">
        <v>83</v>
      </c>
      <c r="B85" s="14" t="s">
        <v>103</v>
      </c>
      <c r="C85" s="24">
        <v>358</v>
      </c>
      <c r="D85" s="24">
        <v>4</v>
      </c>
      <c r="E85" s="24">
        <v>4</v>
      </c>
      <c r="F85" s="15">
        <v>2</v>
      </c>
      <c r="G85" s="16" t="s">
        <v>19</v>
      </c>
      <c r="H85" s="17">
        <v>1.246</v>
      </c>
      <c r="I85" s="17">
        <v>1.19</v>
      </c>
      <c r="J85" s="17">
        <v>14.21</v>
      </c>
      <c r="K85" s="18">
        <v>8.4</v>
      </c>
      <c r="L85" s="18">
        <v>12.6</v>
      </c>
      <c r="M85" s="18">
        <v>7</v>
      </c>
    </row>
    <row r="86" spans="1:13" ht="15.75" customHeight="1" x14ac:dyDescent="0.3">
      <c r="A86" s="13">
        <v>84</v>
      </c>
      <c r="B86" s="14" t="s">
        <v>104</v>
      </c>
      <c r="C86" s="24">
        <v>267</v>
      </c>
      <c r="D86" s="24">
        <v>4</v>
      </c>
      <c r="E86" s="24">
        <v>4</v>
      </c>
      <c r="F86" s="15">
        <v>2</v>
      </c>
      <c r="G86" s="16" t="s">
        <v>19</v>
      </c>
      <c r="H86" s="17">
        <v>1.633</v>
      </c>
      <c r="I86" s="17">
        <v>0.68</v>
      </c>
      <c r="J86" s="17">
        <v>8.7899999999999991</v>
      </c>
      <c r="K86" s="18">
        <v>15.8</v>
      </c>
      <c r="L86" s="18">
        <v>11.5</v>
      </c>
      <c r="M86" s="18">
        <v>12</v>
      </c>
    </row>
    <row r="87" spans="1:13" ht="15.75" customHeight="1" x14ac:dyDescent="0.3">
      <c r="A87" s="13">
        <v>85</v>
      </c>
      <c r="B87" s="14" t="s">
        <v>105</v>
      </c>
      <c r="C87" s="15">
        <v>212</v>
      </c>
      <c r="D87" s="15">
        <v>3</v>
      </c>
      <c r="E87" s="15">
        <v>3</v>
      </c>
      <c r="F87" s="15">
        <v>2</v>
      </c>
      <c r="G87" s="16" t="s">
        <v>19</v>
      </c>
      <c r="H87" s="17">
        <v>1.7030000000000001</v>
      </c>
      <c r="I87" s="17">
        <v>1.51</v>
      </c>
      <c r="J87" s="17">
        <v>17.420000000000002</v>
      </c>
      <c r="K87" s="18">
        <v>15.2</v>
      </c>
      <c r="L87" s="18">
        <v>7.7</v>
      </c>
      <c r="M87" s="18">
        <v>7</v>
      </c>
    </row>
    <row r="88" spans="1:13" ht="15.75" customHeight="1" x14ac:dyDescent="0.3">
      <c r="A88" s="13">
        <v>86</v>
      </c>
      <c r="B88" s="14" t="s">
        <v>106</v>
      </c>
      <c r="C88" s="15">
        <v>249</v>
      </c>
      <c r="D88" s="15">
        <v>4</v>
      </c>
      <c r="E88" s="15">
        <v>3</v>
      </c>
      <c r="F88" s="15">
        <v>2</v>
      </c>
      <c r="G88" s="16" t="s">
        <v>19</v>
      </c>
      <c r="H88" s="17">
        <v>1.01</v>
      </c>
      <c r="I88" s="17">
        <v>1.18</v>
      </c>
      <c r="J88" s="17">
        <v>12.62</v>
      </c>
      <c r="K88" s="18">
        <v>13.2</v>
      </c>
      <c r="L88" s="18">
        <v>17.2</v>
      </c>
      <c r="M88" s="18">
        <v>12</v>
      </c>
    </row>
    <row r="89" spans="1:13" ht="15.75" customHeight="1" x14ac:dyDescent="0.3">
      <c r="A89" s="19">
        <v>87</v>
      </c>
      <c r="B89" s="20" t="s">
        <v>107</v>
      </c>
      <c r="C89" s="21">
        <v>121</v>
      </c>
      <c r="D89" s="21" t="s">
        <v>24</v>
      </c>
      <c r="E89" s="21" t="s">
        <v>24</v>
      </c>
      <c r="F89" s="21">
        <v>2</v>
      </c>
      <c r="G89" s="20" t="s">
        <v>25</v>
      </c>
      <c r="H89" s="21"/>
      <c r="I89" s="22">
        <v>0.46</v>
      </c>
      <c r="J89" s="22">
        <v>7.58</v>
      </c>
      <c r="K89" s="23">
        <v>20.9</v>
      </c>
      <c r="L89" s="23">
        <v>13</v>
      </c>
      <c r="M89" s="23">
        <v>15</v>
      </c>
    </row>
    <row r="90" spans="1:13" ht="15.75" customHeight="1" x14ac:dyDescent="0.3">
      <c r="A90" s="19">
        <v>88</v>
      </c>
      <c r="B90" s="20" t="s">
        <v>108</v>
      </c>
      <c r="C90" s="21">
        <v>193</v>
      </c>
      <c r="D90" s="21" t="s">
        <v>24</v>
      </c>
      <c r="E90" s="21" t="s">
        <v>24</v>
      </c>
      <c r="F90" s="21">
        <v>2</v>
      </c>
      <c r="G90" s="20" t="s">
        <v>25</v>
      </c>
      <c r="H90" s="22">
        <v>1.4119999999999999</v>
      </c>
      <c r="I90" s="22">
        <v>0.65</v>
      </c>
      <c r="J90" s="22">
        <v>6.91</v>
      </c>
      <c r="K90" s="23">
        <v>15.9</v>
      </c>
      <c r="L90" s="23">
        <v>16.7</v>
      </c>
      <c r="M90" s="23">
        <v>10</v>
      </c>
    </row>
    <row r="91" spans="1:13" ht="15.75" customHeight="1" x14ac:dyDescent="0.3">
      <c r="A91" s="19">
        <v>89</v>
      </c>
      <c r="B91" s="20" t="s">
        <v>109</v>
      </c>
      <c r="C91" s="21">
        <v>159</v>
      </c>
      <c r="D91" s="21" t="s">
        <v>24</v>
      </c>
      <c r="E91" s="21" t="s">
        <v>24</v>
      </c>
      <c r="F91" s="21">
        <v>2</v>
      </c>
      <c r="G91" s="20" t="s">
        <v>25</v>
      </c>
      <c r="H91" s="22">
        <v>1.7490000000000001</v>
      </c>
      <c r="I91" s="22">
        <v>0.57999999999999996</v>
      </c>
      <c r="J91" s="22">
        <v>49.86</v>
      </c>
      <c r="K91" s="23">
        <v>11.2</v>
      </c>
      <c r="L91" s="23">
        <v>44.9</v>
      </c>
      <c r="M91" s="23">
        <v>20</v>
      </c>
    </row>
    <row r="92" spans="1:13" ht="15.75" customHeight="1" x14ac:dyDescent="0.3">
      <c r="A92" s="13">
        <v>90</v>
      </c>
      <c r="B92" s="14" t="s">
        <v>110</v>
      </c>
      <c r="C92" s="15">
        <v>115</v>
      </c>
      <c r="D92" s="15">
        <v>5</v>
      </c>
      <c r="E92" s="15">
        <v>5</v>
      </c>
      <c r="F92" s="15">
        <v>2</v>
      </c>
      <c r="G92" s="16" t="s">
        <v>19</v>
      </c>
      <c r="H92" s="17">
        <v>2.532</v>
      </c>
      <c r="I92" s="17">
        <v>0.47</v>
      </c>
      <c r="J92" s="17">
        <v>9.77</v>
      </c>
      <c r="K92" s="18">
        <v>15.6</v>
      </c>
      <c r="L92" s="18">
        <v>9</v>
      </c>
      <c r="M92" s="18">
        <v>11</v>
      </c>
    </row>
    <row r="93" spans="1:13" ht="15.75" customHeight="1" x14ac:dyDescent="0.3">
      <c r="A93" s="13">
        <v>91</v>
      </c>
      <c r="B93" s="14" t="s">
        <v>111</v>
      </c>
      <c r="C93" s="15">
        <v>101</v>
      </c>
      <c r="D93" s="15">
        <v>3</v>
      </c>
      <c r="E93" s="15">
        <v>3</v>
      </c>
      <c r="F93" s="15">
        <v>2</v>
      </c>
      <c r="G93" s="16" t="s">
        <v>19</v>
      </c>
      <c r="H93" s="17">
        <v>0.93799999999999994</v>
      </c>
      <c r="I93" s="17">
        <v>1</v>
      </c>
      <c r="J93" s="17">
        <v>19.93</v>
      </c>
      <c r="K93" s="18">
        <v>7.5</v>
      </c>
      <c r="L93" s="18">
        <v>6.2</v>
      </c>
      <c r="M93" s="18">
        <v>6</v>
      </c>
    </row>
    <row r="94" spans="1:13" ht="15.75" customHeight="1" x14ac:dyDescent="0.3">
      <c r="A94" s="19">
        <v>92</v>
      </c>
      <c r="B94" s="20" t="s">
        <v>112</v>
      </c>
      <c r="C94" s="21">
        <v>267</v>
      </c>
      <c r="D94" s="21" t="s">
        <v>24</v>
      </c>
      <c r="E94" s="21" t="s">
        <v>24</v>
      </c>
      <c r="F94" s="21">
        <v>2</v>
      </c>
      <c r="G94" s="20" t="s">
        <v>25</v>
      </c>
      <c r="H94" s="22">
        <v>0.89700000000000002</v>
      </c>
      <c r="I94" s="22">
        <v>1.1200000000000001</v>
      </c>
      <c r="J94" s="22">
        <v>18.38</v>
      </c>
      <c r="K94" s="23">
        <v>8.1999999999999993</v>
      </c>
      <c r="L94" s="23">
        <v>15.6</v>
      </c>
      <c r="M94" s="23">
        <v>15</v>
      </c>
    </row>
    <row r="95" spans="1:13" ht="15.75" customHeight="1" x14ac:dyDescent="0.3">
      <c r="A95" s="19">
        <v>93</v>
      </c>
      <c r="B95" s="20" t="s">
        <v>113</v>
      </c>
      <c r="C95" s="21">
        <v>66</v>
      </c>
      <c r="D95" s="21" t="s">
        <v>24</v>
      </c>
      <c r="E95" s="21" t="s">
        <v>24</v>
      </c>
      <c r="F95" s="21">
        <v>2</v>
      </c>
      <c r="G95" s="20" t="s">
        <v>25</v>
      </c>
      <c r="H95" s="22">
        <v>0.82699999999999996</v>
      </c>
      <c r="I95" s="22">
        <v>0.76</v>
      </c>
      <c r="J95" s="22">
        <v>10</v>
      </c>
      <c r="K95" s="23">
        <v>16.7</v>
      </c>
      <c r="L95" s="23">
        <v>25.5</v>
      </c>
      <c r="M95" s="23">
        <v>12</v>
      </c>
    </row>
    <row r="96" spans="1:13" ht="15.75" customHeight="1" x14ac:dyDescent="0.3">
      <c r="A96" s="19">
        <v>94</v>
      </c>
      <c r="B96" s="20" t="s">
        <v>114</v>
      </c>
      <c r="C96" s="21">
        <v>49</v>
      </c>
      <c r="D96" s="21" t="s">
        <v>24</v>
      </c>
      <c r="E96" s="21" t="s">
        <v>24</v>
      </c>
      <c r="F96" s="21">
        <v>2</v>
      </c>
      <c r="G96" s="20" t="s">
        <v>25</v>
      </c>
      <c r="H96" s="21"/>
      <c r="I96" s="22">
        <v>0.85</v>
      </c>
      <c r="J96" s="22">
        <v>20.55</v>
      </c>
      <c r="K96" s="23">
        <v>10.3</v>
      </c>
      <c r="L96" s="23">
        <v>12.1</v>
      </c>
      <c r="M96" s="23">
        <v>9</v>
      </c>
    </row>
    <row r="97" spans="1:13" ht="15.75" customHeight="1" x14ac:dyDescent="0.3">
      <c r="A97" s="13">
        <v>95</v>
      </c>
      <c r="B97" s="14" t="s">
        <v>115</v>
      </c>
      <c r="C97" s="24">
        <v>311</v>
      </c>
      <c r="D97" s="24">
        <v>5</v>
      </c>
      <c r="E97" s="24">
        <v>5</v>
      </c>
      <c r="F97" s="15">
        <v>2</v>
      </c>
      <c r="G97" s="16" t="s">
        <v>19</v>
      </c>
      <c r="H97" s="15"/>
      <c r="I97" s="17">
        <v>1.24</v>
      </c>
      <c r="J97" s="17">
        <v>9.01</v>
      </c>
      <c r="K97" s="18">
        <v>10.4</v>
      </c>
      <c r="L97" s="18">
        <v>10.5</v>
      </c>
      <c r="M97" s="18">
        <v>8</v>
      </c>
    </row>
    <row r="98" spans="1:13" ht="15.75" customHeight="1" x14ac:dyDescent="0.3">
      <c r="A98" s="13">
        <v>96</v>
      </c>
      <c r="B98" s="14" t="s">
        <v>116</v>
      </c>
      <c r="C98" s="15">
        <v>234</v>
      </c>
      <c r="D98" s="15">
        <v>5</v>
      </c>
      <c r="E98" s="15">
        <v>5</v>
      </c>
      <c r="F98" s="15">
        <v>2</v>
      </c>
      <c r="G98" s="16" t="s">
        <v>19</v>
      </c>
      <c r="H98" s="17">
        <v>0.89</v>
      </c>
      <c r="I98" s="17">
        <v>0.76</v>
      </c>
      <c r="J98" s="17">
        <v>4.75</v>
      </c>
      <c r="K98" s="18">
        <v>16.8</v>
      </c>
      <c r="L98" s="18">
        <v>5.7</v>
      </c>
      <c r="M98" s="18">
        <v>15</v>
      </c>
    </row>
    <row r="99" spans="1:13" ht="15.75" customHeight="1" x14ac:dyDescent="0.3">
      <c r="A99" s="13">
        <v>97</v>
      </c>
      <c r="B99" s="14" t="s">
        <v>117</v>
      </c>
      <c r="C99" s="15">
        <v>13</v>
      </c>
      <c r="D99" s="15">
        <v>3</v>
      </c>
      <c r="E99" s="15">
        <v>3</v>
      </c>
      <c r="F99" s="15">
        <v>2</v>
      </c>
      <c r="G99" s="16" t="s">
        <v>19</v>
      </c>
      <c r="H99" s="17">
        <v>1.002</v>
      </c>
      <c r="I99" s="17">
        <v>0.35</v>
      </c>
      <c r="J99" s="17">
        <v>20.079999999999998</v>
      </c>
      <c r="K99" s="18">
        <v>33.299999999999997</v>
      </c>
      <c r="L99" s="18">
        <v>7.7</v>
      </c>
      <c r="M99" s="18">
        <v>3</v>
      </c>
    </row>
    <row r="100" spans="1:13" ht="15.75" customHeight="1" x14ac:dyDescent="0.3">
      <c r="A100" s="13">
        <v>98</v>
      </c>
      <c r="B100" s="14" t="s">
        <v>118</v>
      </c>
      <c r="C100" s="24">
        <v>283</v>
      </c>
      <c r="D100" s="24">
        <v>4</v>
      </c>
      <c r="E100" s="24">
        <v>4</v>
      </c>
      <c r="F100" s="15">
        <v>2</v>
      </c>
      <c r="G100" s="16" t="s">
        <v>19</v>
      </c>
      <c r="H100" s="15"/>
      <c r="I100" s="17">
        <v>1.17</v>
      </c>
      <c r="J100" s="17">
        <v>13.58</v>
      </c>
      <c r="K100" s="18">
        <v>12.7</v>
      </c>
      <c r="L100" s="18">
        <v>16.8</v>
      </c>
      <c r="M100" s="18">
        <v>8</v>
      </c>
    </row>
    <row r="101" spans="1:13" ht="15.75" customHeight="1" x14ac:dyDescent="0.3">
      <c r="A101" s="13">
        <v>99</v>
      </c>
      <c r="B101" s="14" t="s">
        <v>119</v>
      </c>
      <c r="C101" s="15">
        <v>8</v>
      </c>
      <c r="D101" s="15">
        <v>3</v>
      </c>
      <c r="E101" s="15">
        <v>3</v>
      </c>
      <c r="F101" s="15">
        <v>2</v>
      </c>
      <c r="G101" s="16" t="s">
        <v>19</v>
      </c>
      <c r="H101" s="15"/>
      <c r="I101" s="15"/>
      <c r="J101" s="15"/>
      <c r="K101" s="15"/>
      <c r="L101" s="18">
        <v>1</v>
      </c>
      <c r="M101" s="15"/>
    </row>
    <row r="102" spans="1:13" ht="15.75" customHeight="1" x14ac:dyDescent="0.3">
      <c r="A102" s="13">
        <v>100</v>
      </c>
      <c r="B102" s="14" t="s">
        <v>120</v>
      </c>
      <c r="C102" s="15">
        <v>118</v>
      </c>
      <c r="D102" s="15">
        <v>5</v>
      </c>
      <c r="E102" s="15">
        <v>5</v>
      </c>
      <c r="F102" s="15">
        <v>1</v>
      </c>
      <c r="G102" s="16" t="s">
        <v>19</v>
      </c>
      <c r="H102" s="17">
        <v>1.0660000000000001</v>
      </c>
      <c r="I102" s="17">
        <v>0.48</v>
      </c>
      <c r="J102" s="17">
        <v>17.63</v>
      </c>
      <c r="K102" s="18">
        <v>17.399999999999999</v>
      </c>
      <c r="L102" s="18">
        <v>20</v>
      </c>
      <c r="M102" s="18">
        <v>9</v>
      </c>
    </row>
    <row r="103" spans="1:13" ht="15.75" customHeight="1" x14ac:dyDescent="0.3">
      <c r="A103" s="19">
        <v>101</v>
      </c>
      <c r="B103" s="20" t="s">
        <v>121</v>
      </c>
      <c r="C103" s="21">
        <v>427</v>
      </c>
      <c r="D103" s="21" t="s">
        <v>24</v>
      </c>
      <c r="E103" s="21" t="s">
        <v>24</v>
      </c>
      <c r="F103" s="21">
        <v>1</v>
      </c>
      <c r="G103" s="20" t="s">
        <v>25</v>
      </c>
      <c r="H103" s="21"/>
      <c r="I103" s="22">
        <v>1.1399999999999999</v>
      </c>
      <c r="J103" s="22">
        <v>9.69</v>
      </c>
      <c r="K103" s="23">
        <v>9.9</v>
      </c>
      <c r="L103" s="23">
        <v>11.1</v>
      </c>
      <c r="M103" s="23">
        <v>11</v>
      </c>
    </row>
    <row r="104" spans="1:13" ht="15.75" customHeight="1" x14ac:dyDescent="0.3">
      <c r="A104" s="13">
        <v>102</v>
      </c>
      <c r="B104" s="14" t="s">
        <v>122</v>
      </c>
      <c r="C104" s="15">
        <v>187</v>
      </c>
      <c r="D104" s="15">
        <v>3</v>
      </c>
      <c r="E104" s="15">
        <v>3</v>
      </c>
      <c r="F104" s="15">
        <v>1</v>
      </c>
      <c r="G104" s="16" t="s">
        <v>19</v>
      </c>
      <c r="H104" s="17">
        <v>0.87</v>
      </c>
      <c r="I104" s="17">
        <v>0.78</v>
      </c>
      <c r="J104" s="17">
        <v>8.1999999999999993</v>
      </c>
      <c r="K104" s="18">
        <v>15.6</v>
      </c>
      <c r="L104" s="18">
        <v>20</v>
      </c>
      <c r="M104" s="18">
        <v>13.5</v>
      </c>
    </row>
    <row r="105" spans="1:13" ht="15.75" customHeight="1" x14ac:dyDescent="0.3">
      <c r="A105" s="19">
        <v>103</v>
      </c>
      <c r="B105" s="20" t="s">
        <v>123</v>
      </c>
      <c r="C105" s="21">
        <v>232</v>
      </c>
      <c r="D105" s="21" t="s">
        <v>24</v>
      </c>
      <c r="E105" s="21" t="s">
        <v>24</v>
      </c>
      <c r="F105" s="21">
        <v>1</v>
      </c>
      <c r="G105" s="20" t="s">
        <v>25</v>
      </c>
      <c r="H105" s="22">
        <v>1.343</v>
      </c>
      <c r="I105" s="22">
        <v>1.01</v>
      </c>
      <c r="J105" s="22">
        <v>11.69</v>
      </c>
      <c r="K105" s="23">
        <v>21</v>
      </c>
      <c r="L105" s="23">
        <v>15.6</v>
      </c>
      <c r="M105" s="23">
        <v>12</v>
      </c>
    </row>
    <row r="106" spans="1:13" ht="15.75" customHeight="1" x14ac:dyDescent="0.3">
      <c r="A106" s="13">
        <v>104</v>
      </c>
      <c r="B106" s="14" t="s">
        <v>124</v>
      </c>
      <c r="C106" s="15">
        <v>324</v>
      </c>
      <c r="D106" s="15">
        <v>4</v>
      </c>
      <c r="E106" s="15">
        <v>5</v>
      </c>
      <c r="F106" s="15">
        <v>1</v>
      </c>
      <c r="G106" s="16" t="s">
        <v>19</v>
      </c>
      <c r="H106" s="15"/>
      <c r="I106" s="17">
        <v>0.72</v>
      </c>
      <c r="J106" s="17">
        <v>15.77</v>
      </c>
      <c r="K106" s="18">
        <v>9.6</v>
      </c>
      <c r="L106" s="18">
        <v>10.5</v>
      </c>
      <c r="M106" s="18">
        <v>9</v>
      </c>
    </row>
    <row r="107" spans="1:13" ht="15.75" customHeight="1" x14ac:dyDescent="0.3">
      <c r="A107" s="13">
        <v>105</v>
      </c>
      <c r="B107" s="25" t="s">
        <v>125</v>
      </c>
      <c r="C107" s="15">
        <v>443</v>
      </c>
      <c r="D107" s="15">
        <v>3</v>
      </c>
      <c r="E107" s="15">
        <v>2</v>
      </c>
      <c r="F107" s="15">
        <v>1</v>
      </c>
      <c r="G107" s="16" t="s">
        <v>19</v>
      </c>
      <c r="H107" s="17">
        <v>1.3480000000000001</v>
      </c>
      <c r="I107" s="17">
        <v>0.88</v>
      </c>
      <c r="J107" s="17">
        <v>13.42</v>
      </c>
      <c r="K107" s="18">
        <v>14.9</v>
      </c>
      <c r="L107" s="18">
        <v>16.3</v>
      </c>
      <c r="M107" s="18">
        <v>13</v>
      </c>
    </row>
    <row r="108" spans="1:13" ht="15.75" customHeight="1" x14ac:dyDescent="0.3">
      <c r="A108" s="19">
        <v>106</v>
      </c>
      <c r="B108" s="20" t="s">
        <v>126</v>
      </c>
      <c r="C108" s="21">
        <v>48</v>
      </c>
      <c r="D108" s="21" t="s">
        <v>24</v>
      </c>
      <c r="E108" s="21" t="s">
        <v>24</v>
      </c>
      <c r="F108" s="21">
        <v>1</v>
      </c>
      <c r="G108" s="20" t="s">
        <v>25</v>
      </c>
      <c r="H108" s="21"/>
      <c r="I108" s="22">
        <v>0.45</v>
      </c>
      <c r="J108" s="22">
        <v>32.090000000000003</v>
      </c>
      <c r="K108" s="23">
        <v>4.8</v>
      </c>
      <c r="L108" s="23">
        <v>30.8</v>
      </c>
      <c r="M108" s="23">
        <v>13</v>
      </c>
    </row>
    <row r="109" spans="1:13" ht="15.75" customHeight="1" x14ac:dyDescent="0.3">
      <c r="A109" s="19">
        <v>107</v>
      </c>
      <c r="B109" s="20" t="s">
        <v>127</v>
      </c>
      <c r="C109" s="29">
        <v>278</v>
      </c>
      <c r="D109" s="21" t="s">
        <v>24</v>
      </c>
      <c r="E109" s="21" t="s">
        <v>24</v>
      </c>
      <c r="F109" s="21">
        <v>1</v>
      </c>
      <c r="G109" s="20" t="s">
        <v>25</v>
      </c>
      <c r="H109" s="22">
        <v>0.93</v>
      </c>
      <c r="I109" s="22">
        <v>1.81</v>
      </c>
      <c r="J109" s="22">
        <v>14.59</v>
      </c>
      <c r="K109" s="23">
        <v>13.6</v>
      </c>
      <c r="L109" s="23">
        <v>10.5</v>
      </c>
      <c r="M109" s="23">
        <v>13</v>
      </c>
    </row>
    <row r="110" spans="1:13" ht="15.75" customHeight="1" x14ac:dyDescent="0.3">
      <c r="A110" s="13">
        <v>108</v>
      </c>
      <c r="B110" s="14" t="s">
        <v>128</v>
      </c>
      <c r="C110" s="15">
        <v>259</v>
      </c>
      <c r="D110" s="15">
        <v>4</v>
      </c>
      <c r="E110" s="15">
        <v>3</v>
      </c>
      <c r="F110" s="15">
        <v>1</v>
      </c>
      <c r="G110" s="16" t="s">
        <v>19</v>
      </c>
      <c r="H110" s="17">
        <v>0.73199999999999998</v>
      </c>
      <c r="I110" s="17">
        <v>1.99</v>
      </c>
      <c r="J110" s="17">
        <v>8.33</v>
      </c>
      <c r="K110" s="18">
        <v>18.899999999999999</v>
      </c>
      <c r="L110" s="18">
        <v>7.6</v>
      </c>
      <c r="M110" s="18">
        <v>8</v>
      </c>
    </row>
    <row r="111" spans="1:13" ht="15.75" customHeight="1" x14ac:dyDescent="0.3">
      <c r="A111" s="19">
        <v>109</v>
      </c>
      <c r="B111" s="20" t="s">
        <v>129</v>
      </c>
      <c r="C111" s="21">
        <v>73</v>
      </c>
      <c r="D111" s="21" t="s">
        <v>24</v>
      </c>
      <c r="E111" s="21" t="s">
        <v>24</v>
      </c>
      <c r="F111" s="21">
        <v>1</v>
      </c>
      <c r="G111" s="20" t="s">
        <v>25</v>
      </c>
      <c r="H111" s="22">
        <v>1.3919999999999999</v>
      </c>
      <c r="I111" s="22">
        <v>1.03</v>
      </c>
      <c r="J111" s="22">
        <v>30</v>
      </c>
      <c r="K111" s="23">
        <v>11.9</v>
      </c>
      <c r="L111" s="23">
        <v>29.2</v>
      </c>
      <c r="M111" s="23">
        <v>10.5</v>
      </c>
    </row>
    <row r="112" spans="1:13" ht="15.75" customHeight="1" x14ac:dyDescent="0.3">
      <c r="A112" s="19">
        <v>110</v>
      </c>
      <c r="B112" s="20" t="s">
        <v>130</v>
      </c>
      <c r="C112" s="21">
        <v>196</v>
      </c>
      <c r="D112" s="21" t="s">
        <v>24</v>
      </c>
      <c r="E112" s="21" t="s">
        <v>24</v>
      </c>
      <c r="F112" s="21">
        <v>1</v>
      </c>
      <c r="G112" s="20" t="s">
        <v>25</v>
      </c>
      <c r="H112" s="22">
        <v>0.75600000000000001</v>
      </c>
      <c r="I112" s="22">
        <v>0.7</v>
      </c>
      <c r="J112" s="22">
        <v>18.39</v>
      </c>
      <c r="K112" s="23">
        <v>14.1</v>
      </c>
      <c r="L112" s="23">
        <v>35.9</v>
      </c>
      <c r="M112" s="23">
        <v>9</v>
      </c>
    </row>
    <row r="113" spans="1:13" ht="15.75" customHeight="1" x14ac:dyDescent="0.3">
      <c r="A113" s="19">
        <v>111</v>
      </c>
      <c r="B113" s="20" t="s">
        <v>131</v>
      </c>
      <c r="C113" s="21">
        <v>41</v>
      </c>
      <c r="D113" s="21" t="s">
        <v>24</v>
      </c>
      <c r="E113" s="21" t="s">
        <v>24</v>
      </c>
      <c r="F113" s="21">
        <v>1</v>
      </c>
      <c r="G113" s="20" t="s">
        <v>25</v>
      </c>
      <c r="H113" s="22">
        <v>1.016</v>
      </c>
      <c r="I113" s="22">
        <v>0.45</v>
      </c>
      <c r="J113" s="22">
        <v>16.059999999999999</v>
      </c>
      <c r="K113" s="23">
        <v>0</v>
      </c>
      <c r="L113" s="23">
        <v>21.1</v>
      </c>
      <c r="M113" s="23">
        <v>15.5</v>
      </c>
    </row>
    <row r="114" spans="1:13" ht="15.75" customHeight="1" x14ac:dyDescent="0.3">
      <c r="A114" s="13">
        <v>112</v>
      </c>
      <c r="B114" s="25" t="s">
        <v>132</v>
      </c>
      <c r="C114" s="15">
        <v>186</v>
      </c>
      <c r="D114" s="15">
        <v>4</v>
      </c>
      <c r="E114" s="15">
        <v>3</v>
      </c>
      <c r="F114" s="15">
        <v>1</v>
      </c>
      <c r="G114" s="16" t="s">
        <v>19</v>
      </c>
      <c r="H114" s="17">
        <v>0.66900000000000004</v>
      </c>
      <c r="I114" s="17">
        <v>0.8</v>
      </c>
      <c r="J114" s="17">
        <v>9.7100000000000009</v>
      </c>
      <c r="K114" s="18">
        <v>7.5</v>
      </c>
      <c r="L114" s="18">
        <v>13.8</v>
      </c>
      <c r="M114" s="18">
        <v>12</v>
      </c>
    </row>
    <row r="115" spans="1:13" ht="15.75" customHeight="1" x14ac:dyDescent="0.3">
      <c r="A115" s="13">
        <v>113</v>
      </c>
      <c r="B115" s="14" t="s">
        <v>133</v>
      </c>
      <c r="C115" s="15">
        <v>25</v>
      </c>
      <c r="D115" s="15">
        <v>4</v>
      </c>
      <c r="E115" s="15">
        <v>3</v>
      </c>
      <c r="F115" s="15">
        <v>1</v>
      </c>
      <c r="G115" s="16" t="s">
        <v>19</v>
      </c>
      <c r="H115" s="17">
        <v>1.619</v>
      </c>
      <c r="I115" s="17">
        <v>0.24</v>
      </c>
      <c r="J115" s="17">
        <v>24.96</v>
      </c>
      <c r="K115" s="18">
        <v>18.2</v>
      </c>
      <c r="L115" s="18">
        <v>5.4</v>
      </c>
      <c r="M115" s="18">
        <v>12</v>
      </c>
    </row>
    <row r="116" spans="1:13" ht="15.75" customHeight="1" x14ac:dyDescent="0.3">
      <c r="A116" s="19">
        <v>114</v>
      </c>
      <c r="B116" s="20" t="s">
        <v>134</v>
      </c>
      <c r="C116" s="21">
        <v>112</v>
      </c>
      <c r="D116" s="21" t="s">
        <v>24</v>
      </c>
      <c r="E116" s="21" t="s">
        <v>24</v>
      </c>
      <c r="F116" s="21">
        <v>1</v>
      </c>
      <c r="G116" s="20" t="s">
        <v>25</v>
      </c>
      <c r="H116" s="22">
        <v>0.9</v>
      </c>
      <c r="I116" s="22">
        <v>0.54</v>
      </c>
      <c r="J116" s="22">
        <v>16.78</v>
      </c>
      <c r="K116" s="23">
        <v>17</v>
      </c>
      <c r="L116" s="23">
        <v>17.5</v>
      </c>
      <c r="M116" s="23">
        <v>13</v>
      </c>
    </row>
    <row r="117" spans="1:13" ht="15.75" customHeight="1" x14ac:dyDescent="0.3">
      <c r="A117" s="13">
        <v>115</v>
      </c>
      <c r="B117" s="14" t="s">
        <v>135</v>
      </c>
      <c r="C117" s="15">
        <v>56</v>
      </c>
      <c r="D117" s="15">
        <v>5</v>
      </c>
      <c r="E117" s="15">
        <v>5</v>
      </c>
      <c r="F117" s="15">
        <v>1</v>
      </c>
      <c r="G117" s="16" t="s">
        <v>19</v>
      </c>
      <c r="H117" s="17">
        <v>0.95299999999999996</v>
      </c>
      <c r="I117" s="17">
        <v>0.22</v>
      </c>
      <c r="J117" s="17">
        <v>11.49</v>
      </c>
      <c r="K117" s="18">
        <v>20</v>
      </c>
      <c r="L117" s="18">
        <v>13.6</v>
      </c>
      <c r="M117" s="18">
        <v>9.5</v>
      </c>
    </row>
    <row r="118" spans="1:13" ht="15.75" customHeight="1" x14ac:dyDescent="0.3">
      <c r="A118" s="13"/>
      <c r="B118" s="30"/>
      <c r="C118" s="30"/>
      <c r="D118" s="30"/>
      <c r="E118" s="30"/>
      <c r="F118" s="30"/>
      <c r="G118" s="30"/>
      <c r="H118" s="31"/>
      <c r="I118" s="31"/>
      <c r="J118" s="31"/>
      <c r="K118" s="31"/>
      <c r="L118" s="31"/>
      <c r="M118" s="31"/>
    </row>
    <row r="119" spans="1:13" ht="15.75" customHeight="1" x14ac:dyDescent="0.3">
      <c r="A119" s="13"/>
      <c r="B119" s="32" t="s">
        <v>136</v>
      </c>
      <c r="C119" s="33"/>
      <c r="D119" s="33"/>
      <c r="E119" s="33"/>
      <c r="F119" s="34"/>
      <c r="G119" s="35" t="s">
        <v>137</v>
      </c>
      <c r="H119" s="36"/>
      <c r="I119" s="15"/>
      <c r="J119" s="15"/>
      <c r="K119" s="15"/>
      <c r="L119" s="15"/>
      <c r="M119" s="15"/>
    </row>
    <row r="120" spans="1:13" ht="15.75" customHeight="1" x14ac:dyDescent="0.3">
      <c r="A120" s="13"/>
      <c r="B120" s="37" t="s">
        <v>138</v>
      </c>
      <c r="C120" s="28"/>
      <c r="D120" s="28"/>
      <c r="E120" s="28"/>
      <c r="F120" s="38"/>
      <c r="G120" s="39" t="s">
        <v>139</v>
      </c>
      <c r="H120" s="15"/>
      <c r="I120" s="15"/>
      <c r="J120" s="15"/>
      <c r="K120" s="15"/>
      <c r="L120" s="15"/>
      <c r="M120" s="15"/>
    </row>
    <row r="121" spans="1:13" ht="15.75" customHeight="1" x14ac:dyDescent="0.3">
      <c r="A121" s="13"/>
      <c r="B121" s="37" t="s">
        <v>140</v>
      </c>
      <c r="C121" s="28"/>
      <c r="D121" s="28"/>
      <c r="E121" s="28"/>
      <c r="F121" s="28"/>
      <c r="G121" s="40" t="s">
        <v>139</v>
      </c>
      <c r="H121" s="15"/>
      <c r="I121" s="15"/>
      <c r="J121" s="15"/>
      <c r="K121" s="15"/>
      <c r="L121" s="15"/>
      <c r="M121" s="15"/>
    </row>
    <row r="122" spans="1:13" ht="15.75" customHeight="1" x14ac:dyDescent="0.3">
      <c r="A122" s="13"/>
      <c r="B122" s="37" t="s">
        <v>141</v>
      </c>
      <c r="C122" s="28"/>
      <c r="D122" s="28"/>
      <c r="E122" s="28"/>
      <c r="F122" s="28"/>
      <c r="G122" s="40" t="s">
        <v>139</v>
      </c>
      <c r="H122" s="15"/>
      <c r="I122" s="15"/>
      <c r="J122" s="15"/>
      <c r="K122" s="15"/>
      <c r="L122" s="15"/>
      <c r="M122" s="15"/>
    </row>
    <row r="123" spans="1:13" ht="15.75" customHeight="1" x14ac:dyDescent="0.3">
      <c r="A123" s="13"/>
      <c r="B123" s="37" t="s">
        <v>142</v>
      </c>
      <c r="C123" s="28"/>
      <c r="D123" s="28"/>
      <c r="E123" s="28"/>
      <c r="F123" s="28"/>
      <c r="G123" s="40" t="s">
        <v>139</v>
      </c>
      <c r="H123" s="15"/>
      <c r="I123" s="15"/>
      <c r="J123" s="15"/>
      <c r="K123" s="15"/>
      <c r="L123" s="15"/>
      <c r="M123" s="15"/>
    </row>
    <row r="124" spans="1:13" ht="15.75" customHeight="1" x14ac:dyDescent="0.3">
      <c r="A124" s="13"/>
      <c r="B124" s="37" t="s">
        <v>143</v>
      </c>
      <c r="C124" s="28"/>
      <c r="D124" s="28"/>
      <c r="E124" s="28"/>
      <c r="F124" s="28"/>
      <c r="G124" s="40" t="s">
        <v>139</v>
      </c>
      <c r="H124" s="15"/>
      <c r="I124" s="15"/>
      <c r="J124" s="15"/>
      <c r="K124" s="15"/>
      <c r="L124" s="15"/>
      <c r="M124" s="15"/>
    </row>
    <row r="125" spans="1:13" ht="15.75" customHeight="1" x14ac:dyDescent="0.3">
      <c r="A125" s="30"/>
      <c r="B125" s="37" t="s">
        <v>144</v>
      </c>
      <c r="C125" s="28"/>
      <c r="D125" s="28"/>
      <c r="E125" s="28"/>
      <c r="F125" s="28"/>
      <c r="G125" s="40" t="s">
        <v>139</v>
      </c>
      <c r="H125" s="15"/>
      <c r="I125" s="15"/>
      <c r="J125" s="15"/>
      <c r="K125" s="15"/>
      <c r="L125" s="15"/>
      <c r="M125" s="15"/>
    </row>
    <row r="126" spans="1:13" ht="15.75" customHeight="1" x14ac:dyDescent="0.3">
      <c r="A126" s="41"/>
      <c r="B126" s="37" t="s">
        <v>145</v>
      </c>
      <c r="C126" s="28"/>
      <c r="D126" s="28"/>
      <c r="E126" s="28"/>
      <c r="F126" s="28"/>
      <c r="G126" s="40" t="s">
        <v>139</v>
      </c>
      <c r="H126" s="15"/>
      <c r="I126" s="15"/>
      <c r="J126" s="15"/>
      <c r="K126" s="15"/>
      <c r="L126" s="15"/>
      <c r="M126" s="15"/>
    </row>
    <row r="127" spans="1:13" ht="15.75" customHeight="1" x14ac:dyDescent="0.3">
      <c r="A127" s="30"/>
      <c r="B127" s="37" t="s">
        <v>146</v>
      </c>
      <c r="C127" s="28"/>
      <c r="D127" s="28"/>
      <c r="E127" s="28"/>
      <c r="F127" s="28"/>
      <c r="G127" s="40" t="s">
        <v>139</v>
      </c>
      <c r="H127" s="15"/>
      <c r="I127" s="15"/>
      <c r="J127" s="15"/>
      <c r="K127" s="15"/>
      <c r="L127" s="15"/>
      <c r="M127" s="15"/>
    </row>
    <row r="128" spans="1:13" ht="15.75" customHeight="1" x14ac:dyDescent="0.3">
      <c r="A128" s="41"/>
      <c r="B128" s="37" t="s">
        <v>147</v>
      </c>
      <c r="C128" s="28"/>
      <c r="D128" s="28"/>
      <c r="E128" s="28"/>
      <c r="F128" s="28"/>
      <c r="G128" s="40" t="s">
        <v>139</v>
      </c>
      <c r="H128" s="15"/>
      <c r="I128" s="15"/>
      <c r="J128" s="15"/>
      <c r="K128" s="15"/>
      <c r="L128" s="15"/>
      <c r="M128" s="15"/>
    </row>
    <row r="129" spans="1:13" ht="15.75" customHeight="1" x14ac:dyDescent="0.3">
      <c r="A129" s="30"/>
      <c r="B129" s="37" t="s">
        <v>148</v>
      </c>
      <c r="C129" s="28"/>
      <c r="D129" s="28"/>
      <c r="E129" s="28"/>
      <c r="F129" s="28"/>
      <c r="G129" s="40" t="s">
        <v>139</v>
      </c>
      <c r="H129" s="15"/>
      <c r="I129" s="15"/>
      <c r="J129" s="15"/>
      <c r="K129" s="15"/>
      <c r="L129" s="15"/>
      <c r="M129" s="15"/>
    </row>
    <row r="130" spans="1:13" ht="15.75" customHeight="1" x14ac:dyDescent="0.3">
      <c r="A130" s="41"/>
      <c r="B130" s="37" t="s">
        <v>149</v>
      </c>
      <c r="C130" s="28"/>
      <c r="D130" s="28"/>
      <c r="E130" s="28"/>
      <c r="F130" s="28"/>
      <c r="G130" s="40" t="s">
        <v>139</v>
      </c>
      <c r="H130" s="15"/>
      <c r="I130" s="15"/>
      <c r="J130" s="15"/>
      <c r="K130" s="15"/>
      <c r="L130" s="15"/>
      <c r="M130" s="15"/>
    </row>
    <row r="131" spans="1:13" ht="15.75" customHeight="1" x14ac:dyDescent="0.3">
      <c r="A131" s="30"/>
      <c r="B131" s="37" t="s">
        <v>150</v>
      </c>
      <c r="C131" s="28"/>
      <c r="D131" s="28"/>
      <c r="E131" s="28"/>
      <c r="F131" s="28"/>
      <c r="G131" s="40" t="s">
        <v>139</v>
      </c>
      <c r="H131" s="15"/>
      <c r="I131" s="15"/>
      <c r="J131" s="15"/>
      <c r="K131" s="15"/>
      <c r="L131" s="15"/>
      <c r="M131" s="15"/>
    </row>
    <row r="132" spans="1:13" ht="15.75" customHeight="1" x14ac:dyDescent="0.3">
      <c r="A132" s="41"/>
      <c r="B132" s="37" t="s">
        <v>151</v>
      </c>
      <c r="C132" s="28"/>
      <c r="D132" s="28"/>
      <c r="E132" s="28"/>
      <c r="F132" s="28"/>
      <c r="G132" s="40" t="s">
        <v>139</v>
      </c>
      <c r="H132" s="15"/>
      <c r="I132" s="15"/>
      <c r="J132" s="15"/>
      <c r="K132" s="15"/>
      <c r="L132" s="15"/>
      <c r="M132" s="15"/>
    </row>
    <row r="133" spans="1:13" ht="15.75" customHeight="1" x14ac:dyDescent="0.3">
      <c r="A133" s="30"/>
      <c r="B133" s="37" t="s">
        <v>152</v>
      </c>
      <c r="C133" s="28"/>
      <c r="D133" s="28"/>
      <c r="E133" s="28"/>
      <c r="F133" s="28"/>
      <c r="G133" s="40" t="s">
        <v>139</v>
      </c>
      <c r="H133" s="15"/>
      <c r="I133" s="15"/>
      <c r="J133" s="15"/>
      <c r="K133" s="15"/>
      <c r="L133" s="15"/>
      <c r="M133" s="15"/>
    </row>
    <row r="134" spans="1:13" ht="15.75" customHeight="1" x14ac:dyDescent="0.3">
      <c r="A134" s="41"/>
      <c r="B134" s="37" t="s">
        <v>153</v>
      </c>
      <c r="C134" s="28"/>
      <c r="D134" s="28"/>
      <c r="E134" s="28"/>
      <c r="F134" s="28"/>
      <c r="G134" s="40" t="s">
        <v>139</v>
      </c>
      <c r="H134" s="15"/>
      <c r="I134" s="15"/>
      <c r="J134" s="15"/>
      <c r="K134" s="15"/>
      <c r="L134" s="15"/>
      <c r="M134" s="15"/>
    </row>
    <row r="135" spans="1:13" ht="15.75" customHeight="1" x14ac:dyDescent="0.3">
      <c r="A135" s="30"/>
      <c r="B135" s="42" t="s">
        <v>154</v>
      </c>
      <c r="C135" s="43"/>
      <c r="D135" s="43"/>
      <c r="E135" s="43"/>
      <c r="F135" s="43"/>
      <c r="G135" s="40" t="s">
        <v>139</v>
      </c>
      <c r="H135" s="15"/>
      <c r="I135" s="15"/>
      <c r="J135" s="15"/>
      <c r="K135" s="15"/>
      <c r="L135" s="15"/>
      <c r="M135" s="15"/>
    </row>
    <row r="136" spans="1:13" ht="15.75" customHeight="1" x14ac:dyDescent="0.3">
      <c r="A136" s="41"/>
      <c r="B136" s="37" t="s">
        <v>155</v>
      </c>
      <c r="C136" s="28"/>
      <c r="D136" s="28"/>
      <c r="E136" s="28"/>
      <c r="F136" s="28"/>
      <c r="G136" s="40" t="s">
        <v>139</v>
      </c>
      <c r="H136" s="15"/>
      <c r="I136" s="15"/>
      <c r="J136" s="15"/>
      <c r="K136" s="15"/>
      <c r="L136" s="15"/>
      <c r="M136" s="15"/>
    </row>
    <row r="137" spans="1:13" ht="15.75" customHeight="1" x14ac:dyDescent="0.3">
      <c r="A137" s="30"/>
      <c r="B137" s="37" t="s">
        <v>156</v>
      </c>
      <c r="C137" s="28"/>
      <c r="D137" s="28"/>
      <c r="E137" s="28"/>
      <c r="F137" s="28"/>
      <c r="G137" s="40" t="s">
        <v>139</v>
      </c>
      <c r="H137" s="15"/>
      <c r="I137" s="15"/>
      <c r="J137" s="15"/>
      <c r="K137" s="15"/>
      <c r="L137" s="15"/>
      <c r="M137" s="15"/>
    </row>
    <row r="138" spans="1:13" ht="15.75" customHeight="1" x14ac:dyDescent="0.3">
      <c r="A138" s="41"/>
      <c r="B138" s="37" t="s">
        <v>157</v>
      </c>
      <c r="C138" s="28"/>
      <c r="D138" s="28"/>
      <c r="E138" s="28"/>
      <c r="F138" s="28"/>
      <c r="G138" s="40" t="s">
        <v>139</v>
      </c>
      <c r="H138" s="15"/>
      <c r="I138" s="15"/>
      <c r="J138" s="15"/>
      <c r="K138" s="15"/>
      <c r="L138" s="15"/>
      <c r="M138" s="15"/>
    </row>
    <row r="139" spans="1:13" ht="15.75" customHeight="1" x14ac:dyDescent="0.3">
      <c r="A139" s="30"/>
      <c r="B139" s="37" t="s">
        <v>158</v>
      </c>
      <c r="C139" s="28"/>
      <c r="D139" s="28"/>
      <c r="E139" s="28"/>
      <c r="F139" s="28"/>
      <c r="G139" s="40" t="s">
        <v>139</v>
      </c>
      <c r="H139" s="15"/>
      <c r="I139" s="15"/>
      <c r="J139" s="15"/>
      <c r="K139" s="15"/>
      <c r="L139" s="15"/>
      <c r="M139" s="15"/>
    </row>
    <row r="140" spans="1:13" ht="15.75" customHeight="1" x14ac:dyDescent="0.3">
      <c r="A140" s="30"/>
      <c r="B140" s="37" t="s">
        <v>159</v>
      </c>
      <c r="C140" s="28"/>
      <c r="D140" s="28"/>
      <c r="E140" s="28"/>
      <c r="F140" s="28"/>
      <c r="G140" s="40" t="s">
        <v>139</v>
      </c>
      <c r="H140" s="15"/>
      <c r="I140" s="15"/>
      <c r="J140" s="15"/>
      <c r="K140" s="15"/>
      <c r="L140" s="15"/>
      <c r="M140" s="15"/>
    </row>
    <row r="141" spans="1:13" ht="15.75" customHeight="1" x14ac:dyDescent="0.3">
      <c r="A141" s="13"/>
      <c r="B141" s="37" t="s">
        <v>160</v>
      </c>
      <c r="C141" s="28"/>
      <c r="D141" s="28"/>
      <c r="E141" s="28"/>
      <c r="F141" s="28"/>
      <c r="G141" s="40" t="s">
        <v>161</v>
      </c>
      <c r="H141" s="15"/>
      <c r="I141" s="15"/>
      <c r="J141" s="15"/>
      <c r="K141" s="15"/>
      <c r="L141" s="15"/>
      <c r="M141" s="15"/>
    </row>
    <row r="142" spans="1:13" ht="15.75" customHeight="1" x14ac:dyDescent="0.3">
      <c r="A142" s="13"/>
      <c r="B142" s="37" t="s">
        <v>162</v>
      </c>
      <c r="C142" s="28"/>
      <c r="D142" s="28"/>
      <c r="E142" s="28"/>
      <c r="F142" s="28"/>
      <c r="G142" s="40" t="s">
        <v>161</v>
      </c>
      <c r="H142" s="15"/>
      <c r="I142" s="15"/>
      <c r="J142" s="15"/>
      <c r="K142" s="15"/>
      <c r="L142" s="15"/>
      <c r="M142" s="15"/>
    </row>
    <row r="143" spans="1:13" ht="15.75" customHeight="1" x14ac:dyDescent="0.3">
      <c r="A143" s="13"/>
      <c r="B143" s="37" t="s">
        <v>163</v>
      </c>
      <c r="C143" s="28"/>
      <c r="D143" s="28"/>
      <c r="E143" s="28"/>
      <c r="F143" s="28"/>
      <c r="G143" s="40" t="s">
        <v>161</v>
      </c>
      <c r="H143" s="15"/>
      <c r="I143" s="15"/>
      <c r="J143" s="15"/>
      <c r="K143" s="15"/>
      <c r="L143" s="15"/>
      <c r="M143" s="15"/>
    </row>
    <row r="144" spans="1:13" ht="15.75" customHeight="1" x14ac:dyDescent="0.3">
      <c r="A144" s="30"/>
      <c r="B144" s="37" t="s">
        <v>164</v>
      </c>
      <c r="C144" s="43"/>
      <c r="D144" s="43"/>
      <c r="E144" s="43"/>
      <c r="F144" s="43"/>
      <c r="G144" s="40" t="s">
        <v>165</v>
      </c>
      <c r="H144" s="15"/>
      <c r="I144" s="15"/>
      <c r="J144" s="15"/>
      <c r="K144" s="15"/>
      <c r="L144" s="15"/>
      <c r="M144" s="15"/>
    </row>
    <row r="145" spans="1:13" ht="15.75" customHeight="1" x14ac:dyDescent="0.3">
      <c r="A145" s="41"/>
      <c r="B145" s="37" t="s">
        <v>166</v>
      </c>
      <c r="C145" s="43"/>
      <c r="D145" s="43"/>
      <c r="E145" s="43"/>
      <c r="F145" s="43" t="s">
        <v>24</v>
      </c>
      <c r="G145" s="40" t="s">
        <v>165</v>
      </c>
      <c r="H145" s="15"/>
      <c r="I145" s="15"/>
      <c r="J145" s="15"/>
      <c r="K145" s="15"/>
      <c r="L145" s="15"/>
      <c r="M145" s="15"/>
    </row>
    <row r="146" spans="1:13" ht="15.75" customHeight="1" x14ac:dyDescent="0.3">
      <c r="A146" s="30"/>
      <c r="B146" s="42" t="s">
        <v>167</v>
      </c>
      <c r="C146" s="43"/>
      <c r="D146" s="43"/>
      <c r="E146" s="43"/>
      <c r="F146" s="43" t="s">
        <v>24</v>
      </c>
      <c r="G146" s="40" t="s">
        <v>165</v>
      </c>
      <c r="H146" s="15"/>
      <c r="I146" s="15"/>
      <c r="J146" s="15"/>
      <c r="K146" s="15"/>
      <c r="L146" s="15"/>
      <c r="M146" s="15"/>
    </row>
    <row r="147" spans="1:13" ht="15.75" customHeight="1" x14ac:dyDescent="0.3">
      <c r="A147" s="30"/>
      <c r="B147" s="37" t="s">
        <v>168</v>
      </c>
      <c r="C147" s="44"/>
      <c r="D147" s="44"/>
      <c r="E147" s="44"/>
      <c r="F147" s="43" t="s">
        <v>24</v>
      </c>
      <c r="G147" s="40" t="s">
        <v>165</v>
      </c>
      <c r="H147" s="15"/>
      <c r="I147" s="15"/>
      <c r="J147" s="15"/>
      <c r="K147" s="15"/>
      <c r="L147" s="15"/>
      <c r="M147" s="15"/>
    </row>
    <row r="148" spans="1:13" ht="15.75" customHeight="1" x14ac:dyDescent="0.3">
      <c r="A148" s="30"/>
      <c r="B148" s="42" t="s">
        <v>169</v>
      </c>
      <c r="C148" s="45">
        <v>2</v>
      </c>
      <c r="D148" s="45">
        <v>4</v>
      </c>
      <c r="E148" s="45">
        <v>4</v>
      </c>
      <c r="F148" s="45"/>
      <c r="G148" s="40" t="s">
        <v>165</v>
      </c>
      <c r="H148" s="15"/>
      <c r="I148" s="15"/>
      <c r="J148" s="15"/>
      <c r="K148" s="15"/>
      <c r="L148" s="15"/>
      <c r="M148" s="15"/>
    </row>
    <row r="149" spans="1:13" ht="15.75" customHeight="1" x14ac:dyDescent="0.3">
      <c r="A149" s="13"/>
      <c r="B149" s="37" t="s">
        <v>170</v>
      </c>
      <c r="C149" s="28"/>
      <c r="D149" s="28"/>
      <c r="E149" s="28"/>
      <c r="F149" s="28"/>
      <c r="G149" s="40" t="s">
        <v>171</v>
      </c>
      <c r="H149" s="15"/>
      <c r="I149" s="15"/>
      <c r="J149" s="15"/>
      <c r="K149" s="15"/>
      <c r="L149" s="15"/>
      <c r="M149" s="15"/>
    </row>
    <row r="150" spans="1:13" ht="15.75" customHeight="1" x14ac:dyDescent="0.3">
      <c r="A150" s="46"/>
      <c r="B150" s="42" t="s">
        <v>172</v>
      </c>
      <c r="C150" s="43">
        <v>1</v>
      </c>
      <c r="D150" s="43" t="s">
        <v>24</v>
      </c>
      <c r="E150" s="43"/>
      <c r="F150" s="43">
        <v>2</v>
      </c>
      <c r="G150" s="40" t="s">
        <v>173</v>
      </c>
      <c r="H150" s="28"/>
      <c r="I150" s="28"/>
      <c r="J150" s="28"/>
      <c r="K150" s="28"/>
      <c r="L150" s="47">
        <v>20</v>
      </c>
      <c r="M150" s="28"/>
    </row>
    <row r="151" spans="1:13" ht="15.75" customHeight="1" x14ac:dyDescent="0.3">
      <c r="A151" s="48"/>
      <c r="B151" s="37" t="s">
        <v>174</v>
      </c>
      <c r="C151" s="43">
        <v>4</v>
      </c>
      <c r="D151" s="43" t="s">
        <v>24</v>
      </c>
      <c r="E151" s="43"/>
      <c r="F151" s="43">
        <v>2</v>
      </c>
      <c r="G151" s="40" t="s">
        <v>173</v>
      </c>
      <c r="H151" s="28"/>
      <c r="I151" s="28"/>
      <c r="J151" s="49">
        <v>0</v>
      </c>
      <c r="K151" s="28"/>
      <c r="L151" s="47">
        <v>12</v>
      </c>
      <c r="M151" s="28"/>
    </row>
    <row r="152" spans="1:13" ht="15.75" customHeight="1" x14ac:dyDescent="0.3">
      <c r="H152" s="31"/>
      <c r="I152" s="31"/>
      <c r="J152" s="31"/>
      <c r="K152" s="31"/>
      <c r="L152" s="31"/>
      <c r="M152" s="31"/>
    </row>
    <row r="153" spans="1:13" ht="15.75" customHeight="1" x14ac:dyDescent="0.3">
      <c r="H153" s="31"/>
      <c r="I153" s="31"/>
      <c r="J153" s="31"/>
      <c r="K153" s="31"/>
      <c r="L153" s="31"/>
      <c r="M153" s="31"/>
    </row>
    <row r="154" spans="1:13" ht="15.75" customHeight="1" x14ac:dyDescent="0.3">
      <c r="H154" s="31"/>
      <c r="I154" s="31"/>
      <c r="J154" s="31"/>
      <c r="K154" s="31"/>
      <c r="L154" s="31"/>
      <c r="M154" s="31"/>
    </row>
    <row r="155" spans="1:13" ht="15.75" customHeight="1" x14ac:dyDescent="0.3">
      <c r="H155" s="31"/>
      <c r="I155" s="31"/>
      <c r="J155" s="31"/>
      <c r="K155" s="31"/>
      <c r="L155" s="31"/>
      <c r="M155" s="31"/>
    </row>
    <row r="156" spans="1:13" ht="15.75" customHeight="1" x14ac:dyDescent="0.3">
      <c r="H156" s="31"/>
      <c r="I156" s="31"/>
      <c r="J156" s="31"/>
      <c r="K156" s="31"/>
      <c r="L156" s="31"/>
      <c r="M156" s="31"/>
    </row>
    <row r="157" spans="1:13" ht="15.75" customHeight="1" x14ac:dyDescent="0.3">
      <c r="H157" s="31"/>
      <c r="I157" s="31"/>
      <c r="J157" s="31"/>
      <c r="K157" s="31"/>
      <c r="L157" s="31"/>
      <c r="M157" s="31"/>
    </row>
    <row r="158" spans="1:13" ht="15.75" customHeight="1" x14ac:dyDescent="0.3">
      <c r="H158" s="31"/>
      <c r="I158" s="31"/>
      <c r="J158" s="31"/>
      <c r="K158" s="31"/>
      <c r="L158" s="31"/>
      <c r="M158" s="31"/>
    </row>
    <row r="159" spans="1:13" ht="15.75" customHeight="1" x14ac:dyDescent="0.3">
      <c r="H159" s="31"/>
      <c r="I159" s="31"/>
      <c r="J159" s="31"/>
      <c r="K159" s="31"/>
      <c r="L159" s="31"/>
      <c r="M159" s="31"/>
    </row>
    <row r="160" spans="1:13" ht="15.75" customHeight="1" x14ac:dyDescent="0.3">
      <c r="H160" s="31"/>
      <c r="I160" s="31"/>
      <c r="J160" s="31"/>
      <c r="K160" s="31"/>
      <c r="L160" s="31"/>
      <c r="M160" s="31"/>
    </row>
    <row r="161" spans="8:13" ht="15.75" customHeight="1" x14ac:dyDescent="0.3">
      <c r="H161" s="31"/>
      <c r="I161" s="31"/>
      <c r="J161" s="31"/>
      <c r="K161" s="31"/>
      <c r="L161" s="31"/>
      <c r="M161" s="31"/>
    </row>
    <row r="162" spans="8:13" ht="15.75" customHeight="1" x14ac:dyDescent="0.3">
      <c r="H162" s="31"/>
      <c r="I162" s="31"/>
      <c r="J162" s="31"/>
      <c r="K162" s="31"/>
      <c r="L162" s="31"/>
      <c r="M162" s="31"/>
    </row>
    <row r="163" spans="8:13" ht="15.75" customHeight="1" x14ac:dyDescent="0.3">
      <c r="H163" s="31"/>
      <c r="I163" s="31"/>
      <c r="J163" s="31"/>
      <c r="K163" s="31"/>
      <c r="L163" s="31"/>
      <c r="M163" s="31"/>
    </row>
    <row r="164" spans="8:13" ht="15.75" customHeight="1" x14ac:dyDescent="0.3">
      <c r="H164" s="31"/>
      <c r="I164" s="31"/>
      <c r="J164" s="31"/>
      <c r="K164" s="31"/>
      <c r="L164" s="31"/>
      <c r="M164" s="31"/>
    </row>
    <row r="165" spans="8:13" ht="15.75" customHeight="1" x14ac:dyDescent="0.3">
      <c r="H165" s="31"/>
      <c r="I165" s="31"/>
      <c r="J165" s="31"/>
      <c r="K165" s="31"/>
      <c r="L165" s="31"/>
      <c r="M165" s="31"/>
    </row>
    <row r="166" spans="8:13" ht="15.75" customHeight="1" x14ac:dyDescent="0.3">
      <c r="H166" s="31"/>
      <c r="I166" s="31"/>
      <c r="J166" s="31"/>
      <c r="K166" s="31"/>
      <c r="L166" s="31"/>
      <c r="M166" s="31"/>
    </row>
    <row r="167" spans="8:13" ht="15.75" customHeight="1" x14ac:dyDescent="0.3">
      <c r="H167" s="31"/>
      <c r="I167" s="31"/>
      <c r="J167" s="31"/>
      <c r="K167" s="31"/>
      <c r="L167" s="31"/>
      <c r="M167" s="31"/>
    </row>
    <row r="168" spans="8:13" ht="15.75" customHeight="1" x14ac:dyDescent="0.3">
      <c r="H168" s="31"/>
      <c r="I168" s="31"/>
      <c r="J168" s="31"/>
      <c r="K168" s="31"/>
      <c r="L168" s="31"/>
      <c r="M168" s="31"/>
    </row>
    <row r="169" spans="8:13" ht="15.75" customHeight="1" x14ac:dyDescent="0.3">
      <c r="H169" s="31"/>
      <c r="I169" s="31"/>
      <c r="J169" s="31"/>
      <c r="K169" s="31"/>
      <c r="L169" s="31"/>
      <c r="M169" s="31"/>
    </row>
    <row r="170" spans="8:13" ht="15.75" customHeight="1" x14ac:dyDescent="0.3">
      <c r="H170" s="31"/>
      <c r="I170" s="31"/>
      <c r="J170" s="31"/>
      <c r="K170" s="31"/>
      <c r="L170" s="31"/>
      <c r="M170" s="31"/>
    </row>
    <row r="171" spans="8:13" ht="15.75" customHeight="1" x14ac:dyDescent="0.3">
      <c r="H171" s="31"/>
      <c r="I171" s="31"/>
      <c r="J171" s="31"/>
      <c r="K171" s="31"/>
      <c r="L171" s="31"/>
      <c r="M171" s="31"/>
    </row>
    <row r="172" spans="8:13" ht="15.75" customHeight="1" x14ac:dyDescent="0.3">
      <c r="H172" s="31"/>
      <c r="I172" s="31"/>
      <c r="J172" s="31"/>
      <c r="K172" s="31"/>
      <c r="L172" s="31"/>
      <c r="M172" s="31"/>
    </row>
    <row r="173" spans="8:13" ht="15.75" customHeight="1" x14ac:dyDescent="0.3">
      <c r="H173" s="31"/>
      <c r="I173" s="31"/>
      <c r="J173" s="31"/>
      <c r="K173" s="31"/>
      <c r="L173" s="31"/>
      <c r="M173" s="31"/>
    </row>
    <row r="174" spans="8:13" ht="15.75" customHeight="1" x14ac:dyDescent="0.3">
      <c r="H174" s="31"/>
      <c r="I174" s="31"/>
      <c r="J174" s="31"/>
      <c r="K174" s="31"/>
      <c r="L174" s="31"/>
      <c r="M174" s="31"/>
    </row>
    <row r="175" spans="8:13" ht="15.75" customHeight="1" x14ac:dyDescent="0.3">
      <c r="H175" s="31"/>
      <c r="I175" s="31"/>
      <c r="J175" s="31"/>
      <c r="K175" s="31"/>
      <c r="L175" s="31"/>
      <c r="M175" s="31"/>
    </row>
    <row r="176" spans="8:13" ht="15.75" customHeight="1" x14ac:dyDescent="0.3">
      <c r="H176" s="31"/>
      <c r="I176" s="31"/>
      <c r="J176" s="31"/>
      <c r="K176" s="31"/>
      <c r="L176" s="31"/>
      <c r="M176" s="31"/>
    </row>
    <row r="177" spans="8:13" ht="15.75" customHeight="1" x14ac:dyDescent="0.3">
      <c r="H177" s="31"/>
      <c r="I177" s="31"/>
      <c r="J177" s="31"/>
      <c r="K177" s="31"/>
      <c r="L177" s="31"/>
      <c r="M177" s="31"/>
    </row>
    <row r="178" spans="8:13" ht="15.75" customHeight="1" x14ac:dyDescent="0.3">
      <c r="H178" s="31"/>
      <c r="I178" s="31"/>
      <c r="J178" s="31"/>
      <c r="K178" s="31"/>
      <c r="L178" s="31"/>
      <c r="M178" s="31"/>
    </row>
    <row r="179" spans="8:13" ht="15.75" customHeight="1" x14ac:dyDescent="0.3">
      <c r="H179" s="31"/>
      <c r="I179" s="31"/>
      <c r="J179" s="31"/>
      <c r="K179" s="31"/>
      <c r="L179" s="31"/>
      <c r="M179" s="31"/>
    </row>
    <row r="180" spans="8:13" ht="15.75" customHeight="1" x14ac:dyDescent="0.3">
      <c r="H180" s="31"/>
      <c r="I180" s="31"/>
      <c r="J180" s="31"/>
      <c r="K180" s="31"/>
      <c r="L180" s="31"/>
      <c r="M180" s="31"/>
    </row>
    <row r="181" spans="8:13" ht="15.75" customHeight="1" x14ac:dyDescent="0.3">
      <c r="H181" s="31"/>
      <c r="I181" s="31"/>
      <c r="J181" s="31"/>
      <c r="K181" s="31"/>
      <c r="L181" s="31"/>
      <c r="M181" s="31"/>
    </row>
    <row r="182" spans="8:13" ht="15.75" customHeight="1" x14ac:dyDescent="0.3">
      <c r="H182" s="31"/>
      <c r="I182" s="31"/>
      <c r="J182" s="31"/>
      <c r="K182" s="31"/>
      <c r="L182" s="31"/>
      <c r="M182" s="31"/>
    </row>
    <row r="183" spans="8:13" ht="15.75" customHeight="1" x14ac:dyDescent="0.3">
      <c r="H183" s="31"/>
      <c r="I183" s="31"/>
      <c r="J183" s="31"/>
      <c r="K183" s="31"/>
      <c r="L183" s="31"/>
      <c r="M183" s="31"/>
    </row>
    <row r="184" spans="8:13" ht="15.75" customHeight="1" x14ac:dyDescent="0.3">
      <c r="H184" s="31"/>
      <c r="I184" s="31"/>
      <c r="J184" s="31"/>
      <c r="K184" s="31"/>
      <c r="L184" s="31"/>
      <c r="M184" s="31"/>
    </row>
    <row r="185" spans="8:13" ht="15.75" customHeight="1" x14ac:dyDescent="0.3">
      <c r="H185" s="31"/>
      <c r="I185" s="31"/>
      <c r="J185" s="31"/>
      <c r="K185" s="31"/>
      <c r="L185" s="31"/>
      <c r="M185" s="31"/>
    </row>
    <row r="186" spans="8:13" ht="15.75" customHeight="1" x14ac:dyDescent="0.3">
      <c r="H186" s="31"/>
      <c r="I186" s="31"/>
      <c r="J186" s="31"/>
      <c r="K186" s="31"/>
      <c r="L186" s="31"/>
      <c r="M186" s="31"/>
    </row>
    <row r="187" spans="8:13" ht="15.75" customHeight="1" x14ac:dyDescent="0.3">
      <c r="H187" s="31"/>
      <c r="I187" s="31"/>
      <c r="J187" s="31"/>
      <c r="K187" s="31"/>
      <c r="L187" s="31"/>
      <c r="M187" s="31"/>
    </row>
    <row r="188" spans="8:13" ht="15.75" customHeight="1" x14ac:dyDescent="0.3">
      <c r="H188" s="31"/>
      <c r="I188" s="31"/>
      <c r="J188" s="31"/>
      <c r="K188" s="31"/>
      <c r="L188" s="31"/>
      <c r="M188" s="31"/>
    </row>
    <row r="189" spans="8:13" ht="15.75" customHeight="1" x14ac:dyDescent="0.3">
      <c r="H189" s="31"/>
      <c r="I189" s="31"/>
      <c r="J189" s="31"/>
      <c r="K189" s="31"/>
      <c r="L189" s="31"/>
      <c r="M189" s="31"/>
    </row>
    <row r="190" spans="8:13" ht="15.75" customHeight="1" x14ac:dyDescent="0.3">
      <c r="H190" s="31"/>
      <c r="I190" s="31"/>
      <c r="J190" s="31"/>
      <c r="K190" s="31"/>
      <c r="L190" s="31"/>
      <c r="M190" s="31"/>
    </row>
    <row r="191" spans="8:13" ht="15.75" customHeight="1" x14ac:dyDescent="0.3">
      <c r="H191" s="31"/>
      <c r="I191" s="31"/>
      <c r="J191" s="31"/>
      <c r="K191" s="31"/>
      <c r="L191" s="31"/>
      <c r="M191" s="31"/>
    </row>
    <row r="192" spans="8:13" ht="15.75" customHeight="1" x14ac:dyDescent="0.3">
      <c r="H192" s="31"/>
      <c r="I192" s="31"/>
      <c r="J192" s="31"/>
      <c r="K192" s="31"/>
      <c r="L192" s="31"/>
      <c r="M192" s="31"/>
    </row>
    <row r="193" spans="8:13" ht="15.75" customHeight="1" x14ac:dyDescent="0.3">
      <c r="H193" s="31"/>
      <c r="I193" s="31"/>
      <c r="J193" s="31"/>
      <c r="K193" s="31"/>
      <c r="L193" s="31"/>
      <c r="M193" s="31"/>
    </row>
    <row r="194" spans="8:13" ht="15.75" customHeight="1" x14ac:dyDescent="0.3">
      <c r="H194" s="31"/>
      <c r="I194" s="31"/>
      <c r="J194" s="31"/>
      <c r="K194" s="31"/>
      <c r="L194" s="31"/>
      <c r="M194" s="31"/>
    </row>
    <row r="195" spans="8:13" ht="15.75" customHeight="1" x14ac:dyDescent="0.3">
      <c r="H195" s="31"/>
      <c r="I195" s="31"/>
      <c r="J195" s="31"/>
      <c r="K195" s="31"/>
      <c r="L195" s="31"/>
      <c r="M195" s="31"/>
    </row>
    <row r="196" spans="8:13" ht="15.75" customHeight="1" x14ac:dyDescent="0.3">
      <c r="H196" s="31"/>
      <c r="I196" s="31"/>
      <c r="J196" s="31"/>
      <c r="K196" s="31"/>
      <c r="L196" s="31"/>
      <c r="M196" s="31"/>
    </row>
    <row r="197" spans="8:13" ht="15.75" customHeight="1" x14ac:dyDescent="0.3">
      <c r="H197" s="31"/>
      <c r="I197" s="31"/>
      <c r="J197" s="31"/>
      <c r="K197" s="31"/>
      <c r="L197" s="31"/>
      <c r="M197" s="31"/>
    </row>
    <row r="198" spans="8:13" ht="15.75" customHeight="1" x14ac:dyDescent="0.3">
      <c r="H198" s="31"/>
      <c r="I198" s="31"/>
      <c r="J198" s="31"/>
      <c r="K198" s="31"/>
      <c r="L198" s="31"/>
      <c r="M198" s="31"/>
    </row>
    <row r="199" spans="8:13" ht="15.75" customHeight="1" x14ac:dyDescent="0.3">
      <c r="H199" s="31"/>
      <c r="I199" s="31"/>
      <c r="J199" s="31"/>
      <c r="K199" s="31"/>
      <c r="L199" s="31"/>
      <c r="M199" s="31"/>
    </row>
    <row r="200" spans="8:13" ht="15.75" customHeight="1" x14ac:dyDescent="0.3">
      <c r="H200" s="31"/>
      <c r="I200" s="31"/>
      <c r="J200" s="31"/>
      <c r="K200" s="31"/>
      <c r="L200" s="31"/>
      <c r="M200" s="31"/>
    </row>
    <row r="201" spans="8:13" ht="15.75" customHeight="1" x14ac:dyDescent="0.3">
      <c r="H201" s="31"/>
      <c r="I201" s="31"/>
      <c r="J201" s="31"/>
      <c r="K201" s="31"/>
      <c r="L201" s="31"/>
      <c r="M201" s="31"/>
    </row>
    <row r="202" spans="8:13" ht="15.75" customHeight="1" x14ac:dyDescent="0.3">
      <c r="H202" s="31"/>
      <c r="I202" s="31"/>
      <c r="J202" s="31"/>
      <c r="K202" s="31"/>
      <c r="L202" s="31"/>
      <c r="M202" s="31"/>
    </row>
    <row r="203" spans="8:13" ht="15.75" customHeight="1" x14ac:dyDescent="0.3">
      <c r="H203" s="31"/>
      <c r="I203" s="31"/>
      <c r="J203" s="31"/>
      <c r="K203" s="31"/>
      <c r="L203" s="31"/>
      <c r="M203" s="31"/>
    </row>
    <row r="204" spans="8:13" ht="15.75" customHeight="1" x14ac:dyDescent="0.3">
      <c r="H204" s="31"/>
      <c r="I204" s="31"/>
      <c r="J204" s="31"/>
      <c r="K204" s="31"/>
      <c r="L204" s="31"/>
      <c r="M204" s="31"/>
    </row>
    <row r="205" spans="8:13" ht="15.75" customHeight="1" x14ac:dyDescent="0.3">
      <c r="H205" s="31"/>
      <c r="I205" s="31"/>
      <c r="J205" s="31"/>
      <c r="K205" s="31"/>
      <c r="L205" s="31"/>
      <c r="M205" s="31"/>
    </row>
    <row r="206" spans="8:13" ht="15.75" customHeight="1" x14ac:dyDescent="0.3">
      <c r="H206" s="31"/>
      <c r="I206" s="31"/>
      <c r="J206" s="31"/>
      <c r="K206" s="31"/>
      <c r="L206" s="31"/>
      <c r="M206" s="31"/>
    </row>
    <row r="207" spans="8:13" ht="15.75" customHeight="1" x14ac:dyDescent="0.3">
      <c r="H207" s="31"/>
      <c r="I207" s="31"/>
      <c r="J207" s="31"/>
      <c r="K207" s="31"/>
      <c r="L207" s="31"/>
      <c r="M207" s="31"/>
    </row>
    <row r="208" spans="8:13" ht="15.75" customHeight="1" x14ac:dyDescent="0.3">
      <c r="H208" s="31"/>
      <c r="I208" s="31"/>
      <c r="J208" s="31"/>
      <c r="K208" s="31"/>
      <c r="L208" s="31"/>
      <c r="M208" s="31"/>
    </row>
    <row r="209" spans="8:13" ht="15.75" customHeight="1" x14ac:dyDescent="0.3">
      <c r="H209" s="31"/>
      <c r="I209" s="31"/>
      <c r="J209" s="31"/>
      <c r="K209" s="31"/>
      <c r="L209" s="31"/>
      <c r="M209" s="31"/>
    </row>
    <row r="210" spans="8:13" ht="15.75" customHeight="1" x14ac:dyDescent="0.3">
      <c r="H210" s="31"/>
      <c r="I210" s="31"/>
      <c r="J210" s="31"/>
      <c r="K210" s="31"/>
      <c r="L210" s="31"/>
      <c r="M210" s="31"/>
    </row>
    <row r="211" spans="8:13" ht="15.75" customHeight="1" x14ac:dyDescent="0.3">
      <c r="H211" s="31"/>
      <c r="I211" s="31"/>
      <c r="J211" s="31"/>
      <c r="K211" s="31"/>
      <c r="L211" s="31"/>
      <c r="M211" s="31"/>
    </row>
    <row r="212" spans="8:13" ht="15.75" customHeight="1" x14ac:dyDescent="0.3">
      <c r="H212" s="31"/>
      <c r="I212" s="31"/>
      <c r="J212" s="31"/>
      <c r="K212" s="31"/>
      <c r="L212" s="31"/>
      <c r="M212" s="31"/>
    </row>
    <row r="213" spans="8:13" ht="15.75" customHeight="1" x14ac:dyDescent="0.3">
      <c r="H213" s="31"/>
      <c r="I213" s="31"/>
      <c r="J213" s="31"/>
      <c r="K213" s="31"/>
      <c r="L213" s="31"/>
      <c r="M213" s="31"/>
    </row>
    <row r="214" spans="8:13" ht="15.75" customHeight="1" x14ac:dyDescent="0.3">
      <c r="H214" s="31"/>
      <c r="I214" s="31"/>
      <c r="J214" s="31"/>
      <c r="K214" s="31"/>
      <c r="L214" s="31"/>
      <c r="M214" s="31"/>
    </row>
    <row r="215" spans="8:13" ht="15.75" customHeight="1" x14ac:dyDescent="0.3">
      <c r="H215" s="31"/>
      <c r="I215" s="31"/>
      <c r="J215" s="31"/>
      <c r="K215" s="31"/>
      <c r="L215" s="31"/>
      <c r="M215" s="31"/>
    </row>
    <row r="216" spans="8:13" ht="15.75" customHeight="1" x14ac:dyDescent="0.3">
      <c r="H216" s="31"/>
      <c r="I216" s="31"/>
      <c r="J216" s="31"/>
      <c r="K216" s="31"/>
      <c r="L216" s="31"/>
      <c r="M216" s="31"/>
    </row>
    <row r="217" spans="8:13" ht="15.75" customHeight="1" x14ac:dyDescent="0.3">
      <c r="H217" s="31"/>
      <c r="I217" s="31"/>
      <c r="J217" s="31"/>
      <c r="K217" s="31"/>
      <c r="L217" s="31"/>
      <c r="M217" s="31"/>
    </row>
    <row r="218" spans="8:13" ht="15.75" customHeight="1" x14ac:dyDescent="0.3">
      <c r="H218" s="31"/>
      <c r="I218" s="31"/>
      <c r="J218" s="31"/>
      <c r="K218" s="31"/>
      <c r="L218" s="31"/>
      <c r="M218" s="31"/>
    </row>
    <row r="219" spans="8:13" ht="15.75" customHeight="1" x14ac:dyDescent="0.3">
      <c r="H219" s="31"/>
      <c r="I219" s="31"/>
      <c r="J219" s="31"/>
      <c r="K219" s="31"/>
      <c r="L219" s="31"/>
      <c r="M219" s="31"/>
    </row>
    <row r="220" spans="8:13" ht="15.75" customHeight="1" x14ac:dyDescent="0.3">
      <c r="H220" s="31"/>
      <c r="I220" s="31"/>
      <c r="J220" s="31"/>
      <c r="K220" s="31"/>
      <c r="L220" s="31"/>
      <c r="M220" s="31"/>
    </row>
    <row r="221" spans="8:13" ht="15.75" customHeight="1" x14ac:dyDescent="0.3">
      <c r="H221" s="31"/>
      <c r="I221" s="31"/>
      <c r="J221" s="31"/>
      <c r="K221" s="31"/>
      <c r="L221" s="31"/>
      <c r="M221" s="31"/>
    </row>
    <row r="222" spans="8:13" ht="15.75" customHeight="1" x14ac:dyDescent="0.3">
      <c r="H222" s="31"/>
      <c r="I222" s="31"/>
      <c r="J222" s="31"/>
      <c r="K222" s="31"/>
      <c r="L222" s="31"/>
      <c r="M222" s="31"/>
    </row>
    <row r="223" spans="8:13" ht="15.75" customHeight="1" x14ac:dyDescent="0.3">
      <c r="H223" s="31"/>
      <c r="I223" s="31"/>
      <c r="J223" s="31"/>
      <c r="K223" s="31"/>
      <c r="L223" s="31"/>
      <c r="M223" s="31"/>
    </row>
    <row r="224" spans="8:13" ht="15.75" customHeight="1" x14ac:dyDescent="0.3">
      <c r="H224" s="31"/>
      <c r="I224" s="31"/>
      <c r="J224" s="31"/>
      <c r="K224" s="31"/>
      <c r="L224" s="31"/>
      <c r="M224" s="31"/>
    </row>
    <row r="225" spans="8:13" ht="15.75" customHeight="1" x14ac:dyDescent="0.3">
      <c r="H225" s="31"/>
      <c r="I225" s="31"/>
      <c r="J225" s="31"/>
      <c r="K225" s="31"/>
      <c r="L225" s="31"/>
      <c r="M225" s="31"/>
    </row>
    <row r="226" spans="8:13" ht="15.75" customHeight="1" x14ac:dyDescent="0.3">
      <c r="H226" s="31"/>
      <c r="I226" s="31"/>
      <c r="J226" s="31"/>
      <c r="K226" s="31"/>
      <c r="L226" s="31"/>
      <c r="M226" s="31"/>
    </row>
    <row r="227" spans="8:13" ht="15.75" customHeight="1" x14ac:dyDescent="0.3">
      <c r="H227" s="31"/>
      <c r="I227" s="31"/>
      <c r="J227" s="31"/>
      <c r="K227" s="31"/>
      <c r="L227" s="31"/>
      <c r="M227" s="31"/>
    </row>
    <row r="228" spans="8:13" ht="15.75" customHeight="1" x14ac:dyDescent="0.3">
      <c r="H228" s="31"/>
      <c r="I228" s="31"/>
      <c r="J228" s="31"/>
      <c r="K228" s="31"/>
      <c r="L228" s="31"/>
      <c r="M228" s="31"/>
    </row>
    <row r="229" spans="8:13" ht="15.75" customHeight="1" x14ac:dyDescent="0.3">
      <c r="H229" s="31"/>
      <c r="I229" s="31"/>
      <c r="J229" s="31"/>
      <c r="K229" s="31"/>
      <c r="L229" s="31"/>
      <c r="M229" s="31"/>
    </row>
    <row r="230" spans="8:13" ht="15.75" customHeight="1" x14ac:dyDescent="0.3">
      <c r="H230" s="31"/>
      <c r="I230" s="31"/>
      <c r="J230" s="31"/>
      <c r="K230" s="31"/>
      <c r="L230" s="31"/>
      <c r="M230" s="31"/>
    </row>
    <row r="231" spans="8:13" ht="15.75" customHeight="1" x14ac:dyDescent="0.3">
      <c r="H231" s="31"/>
      <c r="I231" s="31"/>
      <c r="J231" s="31"/>
      <c r="K231" s="31"/>
      <c r="L231" s="31"/>
      <c r="M231" s="31"/>
    </row>
    <row r="232" spans="8:13" ht="15.75" customHeight="1" x14ac:dyDescent="0.3">
      <c r="H232" s="31"/>
      <c r="I232" s="31"/>
      <c r="J232" s="31"/>
      <c r="K232" s="31"/>
      <c r="L232" s="31"/>
      <c r="M232" s="31"/>
    </row>
    <row r="233" spans="8:13" ht="15.75" customHeight="1" x14ac:dyDescent="0.3">
      <c r="H233" s="31"/>
      <c r="I233" s="31"/>
      <c r="J233" s="31"/>
      <c r="K233" s="31"/>
      <c r="L233" s="31"/>
      <c r="M233" s="31"/>
    </row>
    <row r="234" spans="8:13" ht="15.75" customHeight="1" x14ac:dyDescent="0.3">
      <c r="H234" s="31"/>
      <c r="I234" s="31"/>
      <c r="J234" s="31"/>
      <c r="K234" s="31"/>
      <c r="L234" s="31"/>
      <c r="M234" s="31"/>
    </row>
    <row r="235" spans="8:13" ht="15.75" customHeight="1" x14ac:dyDescent="0.3">
      <c r="H235" s="31"/>
      <c r="I235" s="31"/>
      <c r="J235" s="31"/>
      <c r="K235" s="31"/>
      <c r="L235" s="31"/>
      <c r="M235" s="31"/>
    </row>
    <row r="236" spans="8:13" ht="15.75" customHeight="1" x14ac:dyDescent="0.3">
      <c r="H236" s="31"/>
      <c r="I236" s="31"/>
      <c r="J236" s="31"/>
      <c r="K236" s="31"/>
      <c r="L236" s="31"/>
      <c r="M236" s="31"/>
    </row>
    <row r="237" spans="8:13" ht="15.75" customHeight="1" x14ac:dyDescent="0.3">
      <c r="H237" s="31"/>
      <c r="I237" s="31"/>
      <c r="J237" s="31"/>
      <c r="K237" s="31"/>
      <c r="L237" s="31"/>
      <c r="M237" s="31"/>
    </row>
    <row r="238" spans="8:13" ht="15.75" customHeight="1" x14ac:dyDescent="0.3">
      <c r="H238" s="31"/>
      <c r="I238" s="31"/>
      <c r="J238" s="31"/>
      <c r="K238" s="31"/>
      <c r="L238" s="31"/>
      <c r="M238" s="31"/>
    </row>
    <row r="239" spans="8:13" ht="15.75" customHeight="1" x14ac:dyDescent="0.3">
      <c r="H239" s="31"/>
      <c r="I239" s="31"/>
      <c r="J239" s="31"/>
      <c r="K239" s="31"/>
      <c r="L239" s="31"/>
      <c r="M239" s="31"/>
    </row>
    <row r="240" spans="8:13" ht="15.75" customHeight="1" x14ac:dyDescent="0.3">
      <c r="H240" s="31"/>
      <c r="I240" s="31"/>
      <c r="J240" s="31"/>
      <c r="K240" s="31"/>
      <c r="L240" s="31"/>
      <c r="M240" s="31"/>
    </row>
    <row r="241" spans="8:13" ht="15.75" customHeight="1" x14ac:dyDescent="0.3">
      <c r="H241" s="31"/>
      <c r="I241" s="31"/>
      <c r="J241" s="31"/>
      <c r="K241" s="31"/>
      <c r="L241" s="31"/>
      <c r="M241" s="31"/>
    </row>
    <row r="242" spans="8:13" ht="15.75" customHeight="1" x14ac:dyDescent="0.3">
      <c r="H242" s="31"/>
      <c r="I242" s="31"/>
      <c r="J242" s="31"/>
      <c r="K242" s="31"/>
      <c r="L242" s="31"/>
      <c r="M242" s="31"/>
    </row>
    <row r="243" spans="8:13" ht="15.75" customHeight="1" x14ac:dyDescent="0.3">
      <c r="H243" s="31"/>
      <c r="I243" s="31"/>
      <c r="J243" s="31"/>
      <c r="K243" s="31"/>
      <c r="L243" s="31"/>
      <c r="M243" s="31"/>
    </row>
    <row r="244" spans="8:13" ht="15.75" customHeight="1" x14ac:dyDescent="0.3">
      <c r="H244" s="31"/>
      <c r="I244" s="31"/>
      <c r="J244" s="31"/>
      <c r="K244" s="31"/>
      <c r="L244" s="31"/>
      <c r="M244" s="31"/>
    </row>
    <row r="245" spans="8:13" ht="15.75" customHeight="1" x14ac:dyDescent="0.3">
      <c r="H245" s="31"/>
      <c r="I245" s="31"/>
      <c r="J245" s="31"/>
      <c r="K245" s="31"/>
      <c r="L245" s="31"/>
      <c r="M245" s="31"/>
    </row>
    <row r="246" spans="8:13" ht="15.75" customHeight="1" x14ac:dyDescent="0.3">
      <c r="H246" s="31"/>
      <c r="I246" s="31"/>
      <c r="J246" s="31"/>
      <c r="K246" s="31"/>
      <c r="L246" s="31"/>
      <c r="M246" s="31"/>
    </row>
    <row r="247" spans="8:13" ht="15.75" customHeight="1" x14ac:dyDescent="0.3">
      <c r="H247" s="31"/>
      <c r="I247" s="31"/>
      <c r="J247" s="31"/>
      <c r="K247" s="31"/>
      <c r="L247" s="31"/>
      <c r="M247" s="31"/>
    </row>
    <row r="248" spans="8:13" ht="15.75" customHeight="1" x14ac:dyDescent="0.3">
      <c r="H248" s="31"/>
      <c r="I248" s="31"/>
      <c r="J248" s="31"/>
      <c r="K248" s="31"/>
      <c r="L248" s="31"/>
      <c r="M248" s="31"/>
    </row>
    <row r="249" spans="8:13" ht="15.75" customHeight="1" x14ac:dyDescent="0.3">
      <c r="H249" s="31"/>
      <c r="I249" s="31"/>
      <c r="J249" s="31"/>
      <c r="K249" s="31"/>
      <c r="L249" s="31"/>
      <c r="M249" s="31"/>
    </row>
    <row r="250" spans="8:13" ht="15.75" customHeight="1" x14ac:dyDescent="0.3">
      <c r="H250" s="31"/>
      <c r="I250" s="31"/>
      <c r="J250" s="31"/>
      <c r="K250" s="31"/>
      <c r="L250" s="31"/>
      <c r="M250" s="31"/>
    </row>
    <row r="251" spans="8:13" ht="15.75" customHeight="1" x14ac:dyDescent="0.3">
      <c r="H251" s="31"/>
      <c r="I251" s="31"/>
      <c r="J251" s="31"/>
      <c r="K251" s="31"/>
      <c r="L251" s="31"/>
      <c r="M251" s="31"/>
    </row>
    <row r="252" spans="8:13" ht="15.75" customHeight="1" x14ac:dyDescent="0.3">
      <c r="H252" s="31"/>
      <c r="I252" s="31"/>
      <c r="J252" s="31"/>
      <c r="K252" s="31"/>
      <c r="L252" s="31"/>
      <c r="M252" s="31"/>
    </row>
    <row r="253" spans="8:13" ht="15.75" customHeight="1" x14ac:dyDescent="0.3">
      <c r="H253" s="31"/>
      <c r="I253" s="31"/>
      <c r="J253" s="31"/>
      <c r="K253" s="31"/>
      <c r="L253" s="31"/>
      <c r="M253" s="31"/>
    </row>
    <row r="254" spans="8:13" ht="15.75" customHeight="1" x14ac:dyDescent="0.3">
      <c r="H254" s="31"/>
      <c r="I254" s="31"/>
      <c r="J254" s="31"/>
      <c r="K254" s="31"/>
      <c r="L254" s="31"/>
      <c r="M254" s="31"/>
    </row>
    <row r="255" spans="8:13" ht="15.75" customHeight="1" x14ac:dyDescent="0.3">
      <c r="H255" s="31"/>
      <c r="I255" s="31"/>
      <c r="J255" s="31"/>
      <c r="K255" s="31"/>
      <c r="L255" s="31"/>
      <c r="M255" s="31"/>
    </row>
    <row r="256" spans="8:13" ht="15.75" customHeight="1" x14ac:dyDescent="0.3">
      <c r="H256" s="31"/>
      <c r="I256" s="31"/>
      <c r="J256" s="31"/>
      <c r="K256" s="31"/>
      <c r="L256" s="31"/>
      <c r="M256" s="31"/>
    </row>
    <row r="257" spans="8:13" ht="15.75" customHeight="1" x14ac:dyDescent="0.3">
      <c r="H257" s="31"/>
      <c r="I257" s="31"/>
      <c r="J257" s="31"/>
      <c r="K257" s="31"/>
      <c r="L257" s="31"/>
      <c r="M257" s="31"/>
    </row>
    <row r="258" spans="8:13" ht="15.75" customHeight="1" x14ac:dyDescent="0.3">
      <c r="H258" s="31"/>
      <c r="I258" s="31"/>
      <c r="J258" s="31"/>
      <c r="K258" s="31"/>
      <c r="L258" s="31"/>
      <c r="M258" s="31"/>
    </row>
    <row r="259" spans="8:13" ht="15.75" customHeight="1" x14ac:dyDescent="0.3">
      <c r="H259" s="31"/>
      <c r="I259" s="31"/>
      <c r="J259" s="31"/>
      <c r="K259" s="31"/>
      <c r="L259" s="31"/>
      <c r="M259" s="31"/>
    </row>
    <row r="260" spans="8:13" ht="15.75" customHeight="1" x14ac:dyDescent="0.3">
      <c r="H260" s="31"/>
      <c r="I260" s="31"/>
      <c r="J260" s="31"/>
      <c r="K260" s="31"/>
      <c r="L260" s="31"/>
      <c r="M260" s="31"/>
    </row>
    <row r="261" spans="8:13" ht="15.75" customHeight="1" x14ac:dyDescent="0.3">
      <c r="H261" s="31"/>
      <c r="I261" s="31"/>
      <c r="J261" s="31"/>
      <c r="K261" s="31"/>
      <c r="L261" s="31"/>
      <c r="M261" s="31"/>
    </row>
    <row r="262" spans="8:13" ht="15.75" customHeight="1" x14ac:dyDescent="0.3">
      <c r="H262" s="31"/>
      <c r="I262" s="31"/>
      <c r="J262" s="31"/>
      <c r="K262" s="31"/>
      <c r="L262" s="31"/>
      <c r="M262" s="31"/>
    </row>
    <row r="263" spans="8:13" ht="15.75" customHeight="1" x14ac:dyDescent="0.3">
      <c r="H263" s="31"/>
      <c r="I263" s="31"/>
      <c r="J263" s="31"/>
      <c r="K263" s="31"/>
      <c r="L263" s="31"/>
      <c r="M263" s="31"/>
    </row>
    <row r="264" spans="8:13" ht="15.75" customHeight="1" x14ac:dyDescent="0.3">
      <c r="H264" s="31"/>
      <c r="I264" s="31"/>
      <c r="J264" s="31"/>
      <c r="K264" s="31"/>
      <c r="L264" s="31"/>
      <c r="M264" s="31"/>
    </row>
    <row r="265" spans="8:13" ht="15.75" customHeight="1" x14ac:dyDescent="0.3">
      <c r="H265" s="31"/>
      <c r="I265" s="31"/>
      <c r="J265" s="31"/>
      <c r="K265" s="31"/>
      <c r="L265" s="31"/>
      <c r="M265" s="31"/>
    </row>
    <row r="266" spans="8:13" ht="15.75" customHeight="1" x14ac:dyDescent="0.3">
      <c r="H266" s="31"/>
      <c r="I266" s="31"/>
      <c r="J266" s="31"/>
      <c r="K266" s="31"/>
      <c r="L266" s="31"/>
      <c r="M266" s="31"/>
    </row>
    <row r="267" spans="8:13" ht="15.75" customHeight="1" x14ac:dyDescent="0.3">
      <c r="H267" s="31"/>
      <c r="I267" s="31"/>
      <c r="J267" s="31"/>
      <c r="K267" s="31"/>
      <c r="L267" s="31"/>
      <c r="M267" s="31"/>
    </row>
    <row r="268" spans="8:13" ht="15.75" customHeight="1" x14ac:dyDescent="0.3">
      <c r="H268" s="31"/>
      <c r="I268" s="31"/>
      <c r="J268" s="31"/>
      <c r="K268" s="31"/>
      <c r="L268" s="31"/>
      <c r="M268" s="31"/>
    </row>
    <row r="269" spans="8:13" ht="15.75" customHeight="1" x14ac:dyDescent="0.3">
      <c r="H269" s="31"/>
      <c r="I269" s="31"/>
      <c r="J269" s="31"/>
      <c r="K269" s="31"/>
      <c r="L269" s="31"/>
      <c r="M269" s="31"/>
    </row>
    <row r="270" spans="8:13" ht="15.75" customHeight="1" x14ac:dyDescent="0.3">
      <c r="H270" s="31"/>
      <c r="I270" s="31"/>
      <c r="J270" s="31"/>
      <c r="K270" s="31"/>
      <c r="L270" s="31"/>
      <c r="M270" s="31"/>
    </row>
    <row r="271" spans="8:13" ht="15.75" customHeight="1" x14ac:dyDescent="0.3">
      <c r="H271" s="31"/>
      <c r="I271" s="31"/>
      <c r="J271" s="31"/>
      <c r="K271" s="31"/>
      <c r="L271" s="31"/>
      <c r="M271" s="31"/>
    </row>
    <row r="272" spans="8:13" ht="15.75" customHeight="1" x14ac:dyDescent="0.3">
      <c r="H272" s="31"/>
      <c r="I272" s="31"/>
      <c r="J272" s="31"/>
      <c r="K272" s="31"/>
      <c r="L272" s="31"/>
      <c r="M272" s="31"/>
    </row>
    <row r="273" spans="8:13" ht="15.75" customHeight="1" x14ac:dyDescent="0.3">
      <c r="H273" s="31"/>
      <c r="I273" s="31"/>
      <c r="J273" s="31"/>
      <c r="K273" s="31"/>
      <c r="L273" s="31"/>
      <c r="M273" s="31"/>
    </row>
    <row r="274" spans="8:13" ht="15.75" customHeight="1" x14ac:dyDescent="0.3">
      <c r="H274" s="31"/>
      <c r="I274" s="31"/>
      <c r="J274" s="31"/>
      <c r="K274" s="31"/>
      <c r="L274" s="31"/>
      <c r="M274" s="31"/>
    </row>
    <row r="275" spans="8:13" ht="15.75" customHeight="1" x14ac:dyDescent="0.3">
      <c r="H275" s="31"/>
      <c r="I275" s="31"/>
      <c r="J275" s="31"/>
      <c r="K275" s="31"/>
      <c r="L275" s="31"/>
      <c r="M275" s="31"/>
    </row>
    <row r="276" spans="8:13" ht="15.75" customHeight="1" x14ac:dyDescent="0.3">
      <c r="H276" s="31"/>
      <c r="I276" s="31"/>
      <c r="J276" s="31"/>
      <c r="K276" s="31"/>
      <c r="L276" s="31"/>
      <c r="M276" s="31"/>
    </row>
    <row r="277" spans="8:13" ht="15.75" customHeight="1" x14ac:dyDescent="0.3">
      <c r="H277" s="31"/>
      <c r="I277" s="31"/>
      <c r="J277" s="31"/>
      <c r="K277" s="31"/>
      <c r="L277" s="31"/>
      <c r="M277" s="31"/>
    </row>
    <row r="278" spans="8:13" ht="15.75" customHeight="1" x14ac:dyDescent="0.3">
      <c r="H278" s="31"/>
      <c r="I278" s="31"/>
      <c r="J278" s="31"/>
      <c r="K278" s="31"/>
      <c r="L278" s="31"/>
      <c r="M278" s="31"/>
    </row>
    <row r="279" spans="8:13" ht="15.75" customHeight="1" x14ac:dyDescent="0.3">
      <c r="H279" s="31"/>
      <c r="I279" s="31"/>
      <c r="J279" s="31"/>
      <c r="K279" s="31"/>
      <c r="L279" s="31"/>
      <c r="M279" s="31"/>
    </row>
    <row r="280" spans="8:13" ht="15.75" customHeight="1" x14ac:dyDescent="0.3">
      <c r="H280" s="31"/>
      <c r="I280" s="31"/>
      <c r="J280" s="31"/>
      <c r="K280" s="31"/>
      <c r="L280" s="31"/>
      <c r="M280" s="31"/>
    </row>
    <row r="281" spans="8:13" ht="15.75" customHeight="1" x14ac:dyDescent="0.3">
      <c r="H281" s="31"/>
      <c r="I281" s="31"/>
      <c r="J281" s="31"/>
      <c r="K281" s="31"/>
      <c r="L281" s="31"/>
      <c r="M281" s="31"/>
    </row>
    <row r="282" spans="8:13" ht="15.75" customHeight="1" x14ac:dyDescent="0.3">
      <c r="H282" s="31"/>
      <c r="I282" s="31"/>
      <c r="J282" s="31"/>
      <c r="K282" s="31"/>
      <c r="L282" s="31"/>
      <c r="M282" s="31"/>
    </row>
    <row r="283" spans="8:13" ht="15.75" customHeight="1" x14ac:dyDescent="0.3">
      <c r="H283" s="31"/>
      <c r="I283" s="31"/>
      <c r="J283" s="31"/>
      <c r="K283" s="31"/>
      <c r="L283" s="31"/>
      <c r="M283" s="31"/>
    </row>
    <row r="284" spans="8:13" ht="15.75" customHeight="1" x14ac:dyDescent="0.3">
      <c r="H284" s="31"/>
      <c r="I284" s="31"/>
      <c r="J284" s="31"/>
      <c r="K284" s="31"/>
      <c r="L284" s="31"/>
      <c r="M284" s="31"/>
    </row>
    <row r="285" spans="8:13" ht="15.75" customHeight="1" x14ac:dyDescent="0.3">
      <c r="H285" s="31"/>
      <c r="I285" s="31"/>
      <c r="J285" s="31"/>
      <c r="K285" s="31"/>
      <c r="L285" s="31"/>
      <c r="M285" s="31"/>
    </row>
    <row r="286" spans="8:13" ht="15.75" customHeight="1" x14ac:dyDescent="0.3">
      <c r="H286" s="31"/>
      <c r="I286" s="31"/>
      <c r="J286" s="31"/>
      <c r="K286" s="31"/>
      <c r="L286" s="31"/>
      <c r="M286" s="31"/>
    </row>
    <row r="287" spans="8:13" ht="15.75" customHeight="1" x14ac:dyDescent="0.3">
      <c r="H287" s="31"/>
      <c r="I287" s="31"/>
      <c r="J287" s="31"/>
      <c r="K287" s="31"/>
      <c r="L287" s="31"/>
      <c r="M287" s="31"/>
    </row>
    <row r="288" spans="8:13" ht="15.75" customHeight="1" x14ac:dyDescent="0.3">
      <c r="H288" s="31"/>
      <c r="I288" s="31"/>
      <c r="J288" s="31"/>
      <c r="K288" s="31"/>
      <c r="L288" s="31"/>
      <c r="M288" s="31"/>
    </row>
    <row r="289" spans="8:13" ht="15.75" customHeight="1" x14ac:dyDescent="0.3">
      <c r="H289" s="31"/>
      <c r="I289" s="31"/>
      <c r="J289" s="31"/>
      <c r="K289" s="31"/>
      <c r="L289" s="31"/>
      <c r="M289" s="31"/>
    </row>
    <row r="290" spans="8:13" ht="15.75" customHeight="1" x14ac:dyDescent="0.3">
      <c r="H290" s="31"/>
      <c r="I290" s="31"/>
      <c r="J290" s="31"/>
      <c r="K290" s="31"/>
      <c r="L290" s="31"/>
      <c r="M290" s="31"/>
    </row>
    <row r="291" spans="8:13" ht="15.75" customHeight="1" x14ac:dyDescent="0.3">
      <c r="H291" s="31"/>
      <c r="I291" s="31"/>
      <c r="J291" s="31"/>
      <c r="K291" s="31"/>
      <c r="L291" s="31"/>
      <c r="M291" s="31"/>
    </row>
    <row r="292" spans="8:13" ht="15.75" customHeight="1" x14ac:dyDescent="0.3">
      <c r="H292" s="31"/>
      <c r="I292" s="31"/>
      <c r="J292" s="31"/>
      <c r="K292" s="31"/>
      <c r="L292" s="31"/>
      <c r="M292" s="31"/>
    </row>
    <row r="293" spans="8:13" ht="15.75" customHeight="1" x14ac:dyDescent="0.3">
      <c r="H293" s="31"/>
      <c r="I293" s="31"/>
      <c r="J293" s="31"/>
      <c r="K293" s="31"/>
      <c r="L293" s="31"/>
      <c r="M293" s="31"/>
    </row>
    <row r="294" spans="8:13" ht="15.75" customHeight="1" x14ac:dyDescent="0.3">
      <c r="H294" s="31"/>
      <c r="I294" s="31"/>
      <c r="J294" s="31"/>
      <c r="K294" s="31"/>
      <c r="L294" s="31"/>
      <c r="M294" s="31"/>
    </row>
    <row r="295" spans="8:13" ht="15.75" customHeight="1" x14ac:dyDescent="0.3">
      <c r="H295" s="31"/>
      <c r="I295" s="31"/>
      <c r="J295" s="31"/>
      <c r="K295" s="31"/>
      <c r="L295" s="31"/>
      <c r="M295" s="31"/>
    </row>
    <row r="296" spans="8:13" ht="15.75" customHeight="1" x14ac:dyDescent="0.3">
      <c r="H296" s="31"/>
      <c r="I296" s="31"/>
      <c r="J296" s="31"/>
      <c r="K296" s="31"/>
      <c r="L296" s="31"/>
      <c r="M296" s="31"/>
    </row>
    <row r="297" spans="8:13" ht="15.75" customHeight="1" x14ac:dyDescent="0.3">
      <c r="H297" s="31"/>
      <c r="I297" s="31"/>
      <c r="J297" s="31"/>
      <c r="K297" s="31"/>
      <c r="L297" s="31"/>
      <c r="M297" s="31"/>
    </row>
    <row r="298" spans="8:13" ht="15.75" customHeight="1" x14ac:dyDescent="0.3">
      <c r="H298" s="31"/>
      <c r="I298" s="31"/>
      <c r="J298" s="31"/>
      <c r="K298" s="31"/>
      <c r="L298" s="31"/>
      <c r="M298" s="31"/>
    </row>
    <row r="299" spans="8:13" ht="15.75" customHeight="1" x14ac:dyDescent="0.3">
      <c r="H299" s="31"/>
      <c r="I299" s="31"/>
      <c r="J299" s="31"/>
      <c r="K299" s="31"/>
      <c r="L299" s="31"/>
      <c r="M299" s="31"/>
    </row>
    <row r="300" spans="8:13" ht="15.75" customHeight="1" x14ac:dyDescent="0.3">
      <c r="H300" s="31"/>
      <c r="I300" s="31"/>
      <c r="J300" s="31"/>
      <c r="K300" s="31"/>
      <c r="L300" s="31"/>
      <c r="M300" s="31"/>
    </row>
    <row r="301" spans="8:13" ht="15.75" customHeight="1" x14ac:dyDescent="0.3">
      <c r="H301" s="31"/>
      <c r="I301" s="31"/>
      <c r="J301" s="31"/>
      <c r="K301" s="31"/>
      <c r="L301" s="31"/>
      <c r="M301" s="31"/>
    </row>
    <row r="302" spans="8:13" ht="15.75" customHeight="1" x14ac:dyDescent="0.3">
      <c r="H302" s="31"/>
      <c r="I302" s="31"/>
      <c r="J302" s="31"/>
      <c r="K302" s="31"/>
      <c r="L302" s="31"/>
      <c r="M302" s="31"/>
    </row>
    <row r="303" spans="8:13" ht="15.75" customHeight="1" x14ac:dyDescent="0.3">
      <c r="H303" s="31"/>
      <c r="I303" s="31"/>
      <c r="J303" s="31"/>
      <c r="K303" s="31"/>
      <c r="L303" s="31"/>
      <c r="M303" s="31"/>
    </row>
    <row r="304" spans="8:13" ht="15.75" customHeight="1" x14ac:dyDescent="0.3">
      <c r="H304" s="31"/>
      <c r="I304" s="31"/>
      <c r="J304" s="31"/>
      <c r="K304" s="31"/>
      <c r="L304" s="31"/>
      <c r="M304" s="31"/>
    </row>
    <row r="305" spans="8:13" ht="15.75" customHeight="1" x14ac:dyDescent="0.3">
      <c r="H305" s="31"/>
      <c r="I305" s="31"/>
      <c r="J305" s="31"/>
      <c r="K305" s="31"/>
      <c r="L305" s="31"/>
      <c r="M305" s="31"/>
    </row>
    <row r="306" spans="8:13" ht="15.75" customHeight="1" x14ac:dyDescent="0.3">
      <c r="H306" s="31"/>
      <c r="I306" s="31"/>
      <c r="J306" s="31"/>
      <c r="K306" s="31"/>
      <c r="L306" s="31"/>
      <c r="M306" s="31"/>
    </row>
    <row r="307" spans="8:13" ht="15.75" customHeight="1" x14ac:dyDescent="0.3">
      <c r="H307" s="31"/>
      <c r="I307" s="31"/>
      <c r="J307" s="31"/>
      <c r="K307" s="31"/>
      <c r="L307" s="31"/>
      <c r="M307" s="31"/>
    </row>
    <row r="308" spans="8:13" ht="15.75" customHeight="1" x14ac:dyDescent="0.3">
      <c r="H308" s="31"/>
      <c r="I308" s="31"/>
      <c r="J308" s="31"/>
      <c r="K308" s="31"/>
      <c r="L308" s="31"/>
      <c r="M308" s="31"/>
    </row>
    <row r="309" spans="8:13" ht="15.75" customHeight="1" x14ac:dyDescent="0.3">
      <c r="H309" s="31"/>
      <c r="I309" s="31"/>
      <c r="J309" s="31"/>
      <c r="K309" s="31"/>
      <c r="L309" s="31"/>
      <c r="M309" s="31"/>
    </row>
    <row r="310" spans="8:13" ht="15.75" customHeight="1" x14ac:dyDescent="0.3">
      <c r="H310" s="31"/>
      <c r="I310" s="31"/>
      <c r="J310" s="31"/>
      <c r="K310" s="31"/>
      <c r="L310" s="31"/>
      <c r="M310" s="31"/>
    </row>
    <row r="311" spans="8:13" ht="15.75" customHeight="1" x14ac:dyDescent="0.3">
      <c r="H311" s="31"/>
      <c r="I311" s="31"/>
      <c r="J311" s="31"/>
      <c r="K311" s="31"/>
      <c r="L311" s="31"/>
      <c r="M311" s="31"/>
    </row>
    <row r="312" spans="8:13" ht="15.75" customHeight="1" x14ac:dyDescent="0.3">
      <c r="H312" s="31"/>
      <c r="I312" s="31"/>
      <c r="J312" s="31"/>
      <c r="K312" s="31"/>
      <c r="L312" s="31"/>
      <c r="M312" s="31"/>
    </row>
    <row r="313" spans="8:13" ht="15.75" customHeight="1" x14ac:dyDescent="0.3">
      <c r="H313" s="31"/>
      <c r="I313" s="31"/>
      <c r="J313" s="31"/>
      <c r="K313" s="31"/>
      <c r="L313" s="31"/>
      <c r="M313" s="31"/>
    </row>
    <row r="314" spans="8:13" ht="15.75" customHeight="1" x14ac:dyDescent="0.3">
      <c r="H314" s="31"/>
      <c r="I314" s="31"/>
      <c r="J314" s="31"/>
      <c r="K314" s="31"/>
      <c r="L314" s="31"/>
      <c r="M314" s="31"/>
    </row>
    <row r="315" spans="8:13" ht="15.75" customHeight="1" x14ac:dyDescent="0.3">
      <c r="H315" s="31"/>
      <c r="I315" s="31"/>
      <c r="J315" s="31"/>
      <c r="K315" s="31"/>
      <c r="L315" s="31"/>
      <c r="M315" s="31"/>
    </row>
    <row r="316" spans="8:13" ht="15.75" customHeight="1" x14ac:dyDescent="0.3">
      <c r="H316" s="31"/>
      <c r="I316" s="31"/>
      <c r="J316" s="31"/>
      <c r="K316" s="31"/>
      <c r="L316" s="31"/>
      <c r="M316" s="31"/>
    </row>
    <row r="317" spans="8:13" ht="15.75" customHeight="1" x14ac:dyDescent="0.3">
      <c r="H317" s="31"/>
      <c r="I317" s="31"/>
      <c r="J317" s="31"/>
      <c r="K317" s="31"/>
      <c r="L317" s="31"/>
      <c r="M317" s="31"/>
    </row>
    <row r="318" spans="8:13" ht="15.75" customHeight="1" x14ac:dyDescent="0.3">
      <c r="H318" s="31"/>
      <c r="I318" s="31"/>
      <c r="J318" s="31"/>
      <c r="K318" s="31"/>
      <c r="L318" s="31"/>
      <c r="M318" s="31"/>
    </row>
    <row r="319" spans="8:13" ht="15.75" customHeight="1" x14ac:dyDescent="0.3">
      <c r="H319" s="31"/>
      <c r="I319" s="31"/>
      <c r="J319" s="31"/>
      <c r="K319" s="31"/>
      <c r="L319" s="31"/>
      <c r="M319" s="31"/>
    </row>
    <row r="320" spans="8:13" ht="15.75" customHeight="1" x14ac:dyDescent="0.3">
      <c r="H320" s="31"/>
      <c r="I320" s="31"/>
      <c r="J320" s="31"/>
      <c r="K320" s="31"/>
      <c r="L320" s="31"/>
      <c r="M320" s="31"/>
    </row>
    <row r="321" spans="8:13" ht="15.75" customHeight="1" x14ac:dyDescent="0.3">
      <c r="H321" s="31"/>
      <c r="I321" s="31"/>
      <c r="J321" s="31"/>
      <c r="K321" s="31"/>
      <c r="L321" s="31"/>
      <c r="M321" s="31"/>
    </row>
    <row r="322" spans="8:13" ht="15.75" customHeight="1" x14ac:dyDescent="0.3">
      <c r="H322" s="31"/>
      <c r="I322" s="31"/>
      <c r="J322" s="31"/>
      <c r="K322" s="31"/>
      <c r="L322" s="31"/>
      <c r="M322" s="31"/>
    </row>
    <row r="323" spans="8:13" ht="15.75" customHeight="1" x14ac:dyDescent="0.3">
      <c r="H323" s="31"/>
      <c r="I323" s="31"/>
      <c r="J323" s="31"/>
      <c r="K323" s="31"/>
      <c r="L323" s="31"/>
      <c r="M323" s="31"/>
    </row>
    <row r="324" spans="8:13" ht="15.75" customHeight="1" x14ac:dyDescent="0.3">
      <c r="H324" s="31"/>
      <c r="I324" s="31"/>
      <c r="J324" s="31"/>
      <c r="K324" s="31"/>
      <c r="L324" s="31"/>
      <c r="M324" s="31"/>
    </row>
    <row r="325" spans="8:13" ht="15.75" customHeight="1" x14ac:dyDescent="0.3">
      <c r="H325" s="31"/>
      <c r="I325" s="31"/>
      <c r="J325" s="31"/>
      <c r="K325" s="31"/>
      <c r="L325" s="31"/>
      <c r="M325" s="31"/>
    </row>
    <row r="326" spans="8:13" ht="15.75" customHeight="1" x14ac:dyDescent="0.3">
      <c r="H326" s="31"/>
      <c r="I326" s="31"/>
      <c r="J326" s="31"/>
      <c r="K326" s="31"/>
      <c r="L326" s="31"/>
      <c r="M326" s="31"/>
    </row>
    <row r="327" spans="8:13" ht="15.75" customHeight="1" x14ac:dyDescent="0.3">
      <c r="H327" s="31"/>
      <c r="I327" s="31"/>
      <c r="J327" s="31"/>
      <c r="K327" s="31"/>
      <c r="L327" s="31"/>
      <c r="M327" s="31"/>
    </row>
    <row r="328" spans="8:13" ht="15.75" customHeight="1" x14ac:dyDescent="0.3">
      <c r="H328" s="31"/>
      <c r="I328" s="31"/>
      <c r="J328" s="31"/>
      <c r="K328" s="31"/>
      <c r="L328" s="31"/>
      <c r="M328" s="31"/>
    </row>
    <row r="329" spans="8:13" ht="15.75" customHeight="1" x14ac:dyDescent="0.3">
      <c r="H329" s="31"/>
      <c r="I329" s="31"/>
      <c r="J329" s="31"/>
      <c r="K329" s="31"/>
      <c r="L329" s="31"/>
      <c r="M329" s="31"/>
    </row>
    <row r="330" spans="8:13" ht="15.75" customHeight="1" x14ac:dyDescent="0.3">
      <c r="H330" s="31"/>
      <c r="I330" s="31"/>
      <c r="J330" s="31"/>
      <c r="K330" s="31"/>
      <c r="L330" s="31"/>
      <c r="M330" s="31"/>
    </row>
    <row r="331" spans="8:13" ht="15.75" customHeight="1" x14ac:dyDescent="0.3">
      <c r="H331" s="31"/>
      <c r="I331" s="31"/>
      <c r="J331" s="31"/>
      <c r="K331" s="31"/>
      <c r="L331" s="31"/>
      <c r="M331" s="31"/>
    </row>
    <row r="332" spans="8:13" ht="15.75" customHeight="1" x14ac:dyDescent="0.3">
      <c r="H332" s="31"/>
      <c r="I332" s="31"/>
      <c r="J332" s="31"/>
      <c r="K332" s="31"/>
      <c r="L332" s="31"/>
      <c r="M332" s="31"/>
    </row>
    <row r="333" spans="8:13" ht="15.75" customHeight="1" x14ac:dyDescent="0.3">
      <c r="H333" s="31"/>
      <c r="I333" s="31"/>
      <c r="J333" s="31"/>
      <c r="K333" s="31"/>
      <c r="L333" s="31"/>
      <c r="M333" s="31"/>
    </row>
    <row r="334" spans="8:13" ht="15.75" customHeight="1" x14ac:dyDescent="0.3">
      <c r="H334" s="31"/>
      <c r="I334" s="31"/>
      <c r="J334" s="31"/>
      <c r="K334" s="31"/>
      <c r="L334" s="31"/>
      <c r="M334" s="31"/>
    </row>
    <row r="335" spans="8:13" ht="15.75" customHeight="1" x14ac:dyDescent="0.3">
      <c r="H335" s="31"/>
      <c r="I335" s="31"/>
      <c r="J335" s="31"/>
      <c r="K335" s="31"/>
      <c r="L335" s="31"/>
      <c r="M335" s="31"/>
    </row>
    <row r="336" spans="8:13" ht="15.75" customHeight="1" x14ac:dyDescent="0.3">
      <c r="H336" s="31"/>
      <c r="I336" s="31"/>
      <c r="J336" s="31"/>
      <c r="K336" s="31"/>
      <c r="L336" s="31"/>
      <c r="M336" s="31"/>
    </row>
    <row r="337" spans="8:13" ht="15.75" customHeight="1" x14ac:dyDescent="0.3">
      <c r="H337" s="31"/>
      <c r="I337" s="31"/>
      <c r="J337" s="31"/>
      <c r="K337" s="31"/>
      <c r="L337" s="31"/>
      <c r="M337" s="31"/>
    </row>
    <row r="338" spans="8:13" ht="15.75" customHeight="1" x14ac:dyDescent="0.3">
      <c r="H338" s="31"/>
      <c r="I338" s="31"/>
      <c r="J338" s="31"/>
      <c r="K338" s="31"/>
      <c r="L338" s="31"/>
      <c r="M338" s="31"/>
    </row>
    <row r="339" spans="8:13" ht="15.75" customHeight="1" x14ac:dyDescent="0.3">
      <c r="H339" s="31"/>
      <c r="I339" s="31"/>
      <c r="J339" s="31"/>
      <c r="K339" s="31"/>
      <c r="L339" s="31"/>
      <c r="M339" s="31"/>
    </row>
    <row r="340" spans="8:13" ht="15.75" customHeight="1" x14ac:dyDescent="0.3">
      <c r="H340" s="31"/>
      <c r="I340" s="31"/>
      <c r="J340" s="31"/>
      <c r="K340" s="31"/>
      <c r="L340" s="31"/>
      <c r="M340" s="31"/>
    </row>
    <row r="341" spans="8:13" ht="15.75" customHeight="1" x14ac:dyDescent="0.3">
      <c r="H341" s="31"/>
      <c r="I341" s="31"/>
      <c r="J341" s="31"/>
      <c r="K341" s="31"/>
      <c r="L341" s="31"/>
      <c r="M341" s="31"/>
    </row>
    <row r="342" spans="8:13" ht="15.75" customHeight="1" x14ac:dyDescent="0.3">
      <c r="H342" s="31"/>
      <c r="I342" s="31"/>
      <c r="J342" s="31"/>
      <c r="K342" s="31"/>
      <c r="L342" s="31"/>
      <c r="M342" s="31"/>
    </row>
    <row r="343" spans="8:13" ht="15.75" customHeight="1" x14ac:dyDescent="0.3">
      <c r="H343" s="31"/>
      <c r="I343" s="31"/>
      <c r="J343" s="31"/>
      <c r="K343" s="31"/>
      <c r="L343" s="31"/>
      <c r="M343" s="31"/>
    </row>
    <row r="344" spans="8:13" ht="15.75" customHeight="1" x14ac:dyDescent="0.3">
      <c r="H344" s="31"/>
      <c r="I344" s="31"/>
      <c r="J344" s="31"/>
      <c r="K344" s="31"/>
      <c r="L344" s="31"/>
      <c r="M344" s="31"/>
    </row>
    <row r="345" spans="8:13" ht="15.75" customHeight="1" x14ac:dyDescent="0.3">
      <c r="H345" s="31"/>
      <c r="I345" s="31"/>
      <c r="J345" s="31"/>
      <c r="K345" s="31"/>
      <c r="L345" s="31"/>
      <c r="M345" s="31"/>
    </row>
    <row r="346" spans="8:13" ht="15.75" customHeight="1" x14ac:dyDescent="0.3">
      <c r="H346" s="31"/>
      <c r="I346" s="31"/>
      <c r="J346" s="31"/>
      <c r="K346" s="31"/>
      <c r="L346" s="31"/>
      <c r="M346" s="31"/>
    </row>
    <row r="347" spans="8:13" ht="15.75" customHeight="1" x14ac:dyDescent="0.3">
      <c r="H347" s="31"/>
      <c r="I347" s="31"/>
      <c r="J347" s="31"/>
      <c r="K347" s="31"/>
      <c r="L347" s="31"/>
      <c r="M347" s="31"/>
    </row>
    <row r="348" spans="8:13" ht="15.75" customHeight="1" x14ac:dyDescent="0.3">
      <c r="H348" s="31"/>
      <c r="I348" s="31"/>
      <c r="J348" s="31"/>
      <c r="K348" s="31"/>
      <c r="L348" s="31"/>
      <c r="M348" s="31"/>
    </row>
    <row r="349" spans="8:13" ht="15.75" customHeight="1" x14ac:dyDescent="0.3">
      <c r="H349" s="31"/>
      <c r="I349" s="31"/>
      <c r="J349" s="31"/>
      <c r="K349" s="31"/>
      <c r="L349" s="31"/>
      <c r="M349" s="31"/>
    </row>
    <row r="350" spans="8:13" ht="15.75" customHeight="1" x14ac:dyDescent="0.3">
      <c r="H350" s="31"/>
      <c r="I350" s="31"/>
      <c r="J350" s="31"/>
      <c r="K350" s="31"/>
      <c r="L350" s="31"/>
      <c r="M350" s="31"/>
    </row>
    <row r="351" spans="8:13" ht="15.75" customHeight="1" x14ac:dyDescent="0.3">
      <c r="H351" s="31"/>
      <c r="I351" s="31"/>
      <c r="J351" s="31"/>
      <c r="K351" s="31"/>
      <c r="L351" s="31"/>
      <c r="M351" s="31"/>
    </row>
    <row r="352" spans="8:13" ht="15.75" customHeight="1" x14ac:dyDescent="0.3">
      <c r="H352" s="31"/>
      <c r="I352" s="31"/>
      <c r="J352" s="31"/>
      <c r="K352" s="31"/>
      <c r="L352" s="31"/>
      <c r="M352" s="31"/>
    </row>
    <row r="353" spans="8:13" ht="15.75" customHeight="1" x14ac:dyDescent="0.3">
      <c r="H353" s="31"/>
      <c r="I353" s="31"/>
      <c r="J353" s="31"/>
      <c r="K353" s="31"/>
      <c r="L353" s="31"/>
      <c r="M353" s="31"/>
    </row>
    <row r="354" spans="8:13" ht="15.75" customHeight="1" x14ac:dyDescent="0.3">
      <c r="H354" s="31"/>
      <c r="I354" s="31"/>
      <c r="J354" s="31"/>
      <c r="K354" s="31"/>
      <c r="L354" s="31"/>
      <c r="M354" s="31"/>
    </row>
    <row r="355" spans="8:13" ht="15.75" customHeight="1" x14ac:dyDescent="0.3">
      <c r="H355" s="31"/>
      <c r="I355" s="31"/>
      <c r="J355" s="31"/>
      <c r="K355" s="31"/>
      <c r="L355" s="31"/>
      <c r="M355" s="31"/>
    </row>
    <row r="356" spans="8:13" ht="15.75" customHeight="1" x14ac:dyDescent="0.3">
      <c r="H356" s="31"/>
      <c r="I356" s="31"/>
      <c r="J356" s="31"/>
      <c r="K356" s="31"/>
      <c r="L356" s="31"/>
      <c r="M356" s="31"/>
    </row>
    <row r="357" spans="8:13" ht="15.75" customHeight="1" x14ac:dyDescent="0.3">
      <c r="H357" s="31"/>
      <c r="I357" s="31"/>
      <c r="J357" s="31"/>
      <c r="K357" s="31"/>
      <c r="L357" s="31"/>
      <c r="M357" s="31"/>
    </row>
    <row r="358" spans="8:13" ht="15.75" customHeight="1" x14ac:dyDescent="0.3">
      <c r="H358" s="31"/>
      <c r="I358" s="31"/>
      <c r="J358" s="31"/>
      <c r="K358" s="31"/>
      <c r="L358" s="31"/>
      <c r="M358" s="31"/>
    </row>
    <row r="359" spans="8:13" ht="15.75" customHeight="1" x14ac:dyDescent="0.3">
      <c r="H359" s="31"/>
      <c r="I359" s="31"/>
      <c r="J359" s="31"/>
      <c r="K359" s="31"/>
      <c r="L359" s="31"/>
      <c r="M359" s="31"/>
    </row>
    <row r="360" spans="8:13" ht="15.75" customHeight="1" x14ac:dyDescent="0.3">
      <c r="H360" s="31"/>
      <c r="I360" s="31"/>
      <c r="J360" s="31"/>
      <c r="K360" s="31"/>
      <c r="L360" s="31"/>
      <c r="M360" s="31"/>
    </row>
    <row r="361" spans="8:13" ht="15.75" customHeight="1" x14ac:dyDescent="0.3">
      <c r="H361" s="31"/>
      <c r="I361" s="31"/>
      <c r="J361" s="31"/>
      <c r="K361" s="31"/>
      <c r="L361" s="31"/>
      <c r="M361" s="31"/>
    </row>
    <row r="362" spans="8:13" ht="15.75" customHeight="1" x14ac:dyDescent="0.3">
      <c r="H362" s="31"/>
      <c r="I362" s="31"/>
      <c r="J362" s="31"/>
      <c r="K362" s="31"/>
      <c r="L362" s="31"/>
      <c r="M362" s="31"/>
    </row>
    <row r="363" spans="8:13" ht="15.75" customHeight="1" x14ac:dyDescent="0.3">
      <c r="H363" s="31"/>
      <c r="I363" s="31"/>
      <c r="J363" s="31"/>
      <c r="K363" s="31"/>
      <c r="L363" s="31"/>
      <c r="M363" s="31"/>
    </row>
    <row r="364" spans="8:13" ht="15.75" customHeight="1" x14ac:dyDescent="0.3">
      <c r="H364" s="31"/>
      <c r="I364" s="31"/>
      <c r="J364" s="31"/>
      <c r="K364" s="31"/>
      <c r="L364" s="31"/>
      <c r="M364" s="31"/>
    </row>
    <row r="365" spans="8:13" ht="15.75" customHeight="1" x14ac:dyDescent="0.3">
      <c r="H365" s="31"/>
      <c r="I365" s="31"/>
      <c r="J365" s="31"/>
      <c r="K365" s="31"/>
      <c r="L365" s="31"/>
      <c r="M365" s="31"/>
    </row>
    <row r="366" spans="8:13" ht="15.75" customHeight="1" x14ac:dyDescent="0.3">
      <c r="H366" s="31"/>
      <c r="I366" s="31"/>
      <c r="J366" s="31"/>
      <c r="K366" s="31"/>
      <c r="L366" s="31"/>
      <c r="M366" s="31"/>
    </row>
    <row r="367" spans="8:13" ht="15.75" customHeight="1" x14ac:dyDescent="0.3">
      <c r="H367" s="31"/>
      <c r="I367" s="31"/>
      <c r="J367" s="31"/>
      <c r="K367" s="31"/>
      <c r="L367" s="31"/>
      <c r="M367" s="31"/>
    </row>
    <row r="368" spans="8:13" ht="15.75" customHeight="1" x14ac:dyDescent="0.3">
      <c r="H368" s="31"/>
      <c r="I368" s="31"/>
      <c r="J368" s="31"/>
      <c r="K368" s="31"/>
      <c r="L368" s="31"/>
      <c r="M368" s="31"/>
    </row>
    <row r="369" spans="8:13" ht="15.75" customHeight="1" x14ac:dyDescent="0.3">
      <c r="H369" s="31"/>
      <c r="I369" s="31"/>
      <c r="J369" s="31"/>
      <c r="K369" s="31"/>
      <c r="L369" s="31"/>
      <c r="M369" s="31"/>
    </row>
    <row r="370" spans="8:13" ht="15.75" customHeight="1" x14ac:dyDescent="0.3">
      <c r="H370" s="31"/>
      <c r="I370" s="31"/>
      <c r="J370" s="31"/>
      <c r="K370" s="31"/>
      <c r="L370" s="31"/>
      <c r="M370" s="31"/>
    </row>
    <row r="371" spans="8:13" ht="15.75" customHeight="1" x14ac:dyDescent="0.3">
      <c r="H371" s="31"/>
      <c r="I371" s="31"/>
      <c r="J371" s="31"/>
      <c r="K371" s="31"/>
      <c r="L371" s="31"/>
      <c r="M371" s="31"/>
    </row>
    <row r="372" spans="8:13" ht="15.75" customHeight="1" x14ac:dyDescent="0.3">
      <c r="H372" s="31"/>
      <c r="I372" s="31"/>
      <c r="J372" s="31"/>
      <c r="K372" s="31"/>
      <c r="L372" s="31"/>
      <c r="M372" s="31"/>
    </row>
    <row r="373" spans="8:13" ht="15.75" customHeight="1" x14ac:dyDescent="0.3">
      <c r="H373" s="31"/>
      <c r="I373" s="31"/>
      <c r="J373" s="31"/>
      <c r="K373" s="31"/>
      <c r="L373" s="31"/>
      <c r="M373" s="31"/>
    </row>
    <row r="374" spans="8:13" ht="15.75" customHeight="1" x14ac:dyDescent="0.3">
      <c r="H374" s="31"/>
      <c r="I374" s="31"/>
      <c r="J374" s="31"/>
      <c r="K374" s="31"/>
      <c r="L374" s="31"/>
      <c r="M374" s="31"/>
    </row>
    <row r="375" spans="8:13" ht="15.75" customHeight="1" x14ac:dyDescent="0.3">
      <c r="H375" s="31"/>
      <c r="I375" s="31"/>
      <c r="J375" s="31"/>
      <c r="K375" s="31"/>
      <c r="L375" s="31"/>
      <c r="M375" s="31"/>
    </row>
    <row r="376" spans="8:13" ht="15.75" customHeight="1" x14ac:dyDescent="0.3">
      <c r="H376" s="31"/>
      <c r="I376" s="31"/>
      <c r="J376" s="31"/>
      <c r="K376" s="31"/>
      <c r="L376" s="31"/>
      <c r="M376" s="31"/>
    </row>
    <row r="377" spans="8:13" ht="15.75" customHeight="1" x14ac:dyDescent="0.3">
      <c r="H377" s="31"/>
      <c r="I377" s="31"/>
      <c r="J377" s="31"/>
      <c r="K377" s="31"/>
      <c r="L377" s="31"/>
      <c r="M377" s="31"/>
    </row>
    <row r="378" spans="8:13" ht="15.75" customHeight="1" x14ac:dyDescent="0.3">
      <c r="H378" s="31"/>
      <c r="I378" s="31"/>
      <c r="J378" s="31"/>
      <c r="K378" s="31"/>
      <c r="L378" s="31"/>
      <c r="M378" s="31"/>
    </row>
    <row r="379" spans="8:13" ht="15.75" customHeight="1" x14ac:dyDescent="0.3">
      <c r="H379" s="31"/>
      <c r="I379" s="31"/>
      <c r="J379" s="31"/>
      <c r="K379" s="31"/>
      <c r="L379" s="31"/>
      <c r="M379" s="31"/>
    </row>
    <row r="380" spans="8:13" ht="15.75" customHeight="1" x14ac:dyDescent="0.3">
      <c r="H380" s="31"/>
      <c r="I380" s="31"/>
      <c r="J380" s="31"/>
      <c r="K380" s="31"/>
      <c r="L380" s="31"/>
      <c r="M380" s="31"/>
    </row>
    <row r="381" spans="8:13" ht="15.75" customHeight="1" x14ac:dyDescent="0.3">
      <c r="H381" s="31"/>
      <c r="I381" s="31"/>
      <c r="J381" s="31"/>
      <c r="K381" s="31"/>
      <c r="L381" s="31"/>
      <c r="M381" s="31"/>
    </row>
    <row r="382" spans="8:13" ht="15.75" customHeight="1" x14ac:dyDescent="0.3">
      <c r="H382" s="31"/>
      <c r="I382" s="31"/>
      <c r="J382" s="31"/>
      <c r="K382" s="31"/>
      <c r="L382" s="31"/>
      <c r="M382" s="31"/>
    </row>
    <row r="383" spans="8:13" ht="15.75" customHeight="1" x14ac:dyDescent="0.3">
      <c r="H383" s="31"/>
      <c r="I383" s="31"/>
      <c r="J383" s="31"/>
      <c r="K383" s="31"/>
      <c r="L383" s="31"/>
      <c r="M383" s="31"/>
    </row>
    <row r="384" spans="8:13" ht="15.75" customHeight="1" x14ac:dyDescent="0.3">
      <c r="H384" s="31"/>
      <c r="I384" s="31"/>
      <c r="J384" s="31"/>
      <c r="K384" s="31"/>
      <c r="L384" s="31"/>
      <c r="M384" s="31"/>
    </row>
    <row r="385" spans="8:13" ht="15.75" customHeight="1" x14ac:dyDescent="0.3">
      <c r="H385" s="31"/>
      <c r="I385" s="31"/>
      <c r="J385" s="31"/>
      <c r="K385" s="31"/>
      <c r="L385" s="31"/>
      <c r="M385" s="31"/>
    </row>
    <row r="386" spans="8:13" ht="15.75" customHeight="1" x14ac:dyDescent="0.3">
      <c r="H386" s="31"/>
      <c r="I386" s="31"/>
      <c r="J386" s="31"/>
      <c r="K386" s="31"/>
      <c r="L386" s="31"/>
      <c r="M386" s="31"/>
    </row>
    <row r="387" spans="8:13" ht="15.75" customHeight="1" x14ac:dyDescent="0.3">
      <c r="H387" s="31"/>
      <c r="I387" s="31"/>
      <c r="J387" s="31"/>
      <c r="K387" s="31"/>
      <c r="L387" s="31"/>
      <c r="M387" s="31"/>
    </row>
    <row r="388" spans="8:13" ht="15.75" customHeight="1" x14ac:dyDescent="0.3">
      <c r="H388" s="31"/>
      <c r="I388" s="31"/>
      <c r="J388" s="31"/>
      <c r="K388" s="31"/>
      <c r="L388" s="31"/>
      <c r="M388" s="31"/>
    </row>
    <row r="389" spans="8:13" ht="15.75" customHeight="1" x14ac:dyDescent="0.3">
      <c r="H389" s="31"/>
      <c r="I389" s="31"/>
      <c r="J389" s="31"/>
      <c r="K389" s="31"/>
      <c r="L389" s="31"/>
      <c r="M389" s="31"/>
    </row>
    <row r="390" spans="8:13" ht="15.75" customHeight="1" x14ac:dyDescent="0.3">
      <c r="H390" s="31"/>
      <c r="I390" s="31"/>
      <c r="J390" s="31"/>
      <c r="K390" s="31"/>
      <c r="L390" s="31"/>
      <c r="M390" s="31"/>
    </row>
    <row r="391" spans="8:13" ht="15.75" customHeight="1" x14ac:dyDescent="0.3">
      <c r="H391" s="31"/>
      <c r="I391" s="31"/>
      <c r="J391" s="31"/>
      <c r="K391" s="31"/>
      <c r="L391" s="31"/>
      <c r="M391" s="31"/>
    </row>
    <row r="392" spans="8:13" ht="15.75" customHeight="1" x14ac:dyDescent="0.3">
      <c r="H392" s="31"/>
      <c r="I392" s="31"/>
      <c r="J392" s="31"/>
      <c r="K392" s="31"/>
      <c r="L392" s="31"/>
      <c r="M392" s="31"/>
    </row>
    <row r="393" spans="8:13" ht="15.75" customHeight="1" x14ac:dyDescent="0.3">
      <c r="H393" s="31"/>
      <c r="I393" s="31"/>
      <c r="J393" s="31"/>
      <c r="K393" s="31"/>
      <c r="L393" s="31"/>
      <c r="M393" s="31"/>
    </row>
    <row r="394" spans="8:13" ht="15.75" customHeight="1" x14ac:dyDescent="0.3">
      <c r="H394" s="31"/>
      <c r="I394" s="31"/>
      <c r="J394" s="31"/>
      <c r="K394" s="31"/>
      <c r="L394" s="31"/>
      <c r="M394" s="31"/>
    </row>
    <row r="395" spans="8:13" ht="15.75" customHeight="1" x14ac:dyDescent="0.3">
      <c r="H395" s="31"/>
      <c r="I395" s="31"/>
      <c r="J395" s="31"/>
      <c r="K395" s="31"/>
      <c r="L395" s="31"/>
      <c r="M395" s="31"/>
    </row>
    <row r="396" spans="8:13" ht="15.75" customHeight="1" x14ac:dyDescent="0.3">
      <c r="H396" s="31"/>
      <c r="I396" s="31"/>
      <c r="J396" s="31"/>
      <c r="K396" s="31"/>
      <c r="L396" s="31"/>
      <c r="M396" s="31"/>
    </row>
    <row r="397" spans="8:13" ht="15.75" customHeight="1" x14ac:dyDescent="0.3">
      <c r="H397" s="31"/>
      <c r="I397" s="31"/>
      <c r="J397" s="31"/>
      <c r="K397" s="31"/>
      <c r="L397" s="31"/>
      <c r="M397" s="31"/>
    </row>
    <row r="398" spans="8:13" ht="15.75" customHeight="1" x14ac:dyDescent="0.3">
      <c r="H398" s="31"/>
      <c r="I398" s="31"/>
      <c r="J398" s="31"/>
      <c r="K398" s="31"/>
      <c r="L398" s="31"/>
      <c r="M398" s="31"/>
    </row>
    <row r="399" spans="8:13" ht="15.75" customHeight="1" x14ac:dyDescent="0.3">
      <c r="H399" s="31"/>
      <c r="I399" s="31"/>
      <c r="J399" s="31"/>
      <c r="K399" s="31"/>
      <c r="L399" s="31"/>
      <c r="M399" s="31"/>
    </row>
    <row r="400" spans="8:13" ht="15.75" customHeight="1" x14ac:dyDescent="0.3">
      <c r="H400" s="31"/>
      <c r="I400" s="31"/>
      <c r="J400" s="31"/>
      <c r="K400" s="31"/>
      <c r="L400" s="31"/>
      <c r="M400" s="31"/>
    </row>
    <row r="401" spans="8:13" ht="15.75" customHeight="1" x14ac:dyDescent="0.3">
      <c r="H401" s="31"/>
      <c r="I401" s="31"/>
      <c r="J401" s="31"/>
      <c r="K401" s="31"/>
      <c r="L401" s="31"/>
      <c r="M401" s="31"/>
    </row>
    <row r="402" spans="8:13" ht="15.75" customHeight="1" x14ac:dyDescent="0.3">
      <c r="H402" s="31"/>
      <c r="I402" s="31"/>
      <c r="J402" s="31"/>
      <c r="K402" s="31"/>
      <c r="L402" s="31"/>
      <c r="M402" s="31"/>
    </row>
    <row r="403" spans="8:13" ht="15.75" customHeight="1" x14ac:dyDescent="0.3">
      <c r="H403" s="31"/>
      <c r="I403" s="31"/>
      <c r="J403" s="31"/>
      <c r="K403" s="31"/>
      <c r="L403" s="31"/>
      <c r="M403" s="31"/>
    </row>
    <row r="404" spans="8:13" ht="15.75" customHeight="1" x14ac:dyDescent="0.3">
      <c r="H404" s="31"/>
      <c r="I404" s="31"/>
      <c r="J404" s="31"/>
      <c r="K404" s="31"/>
      <c r="L404" s="31"/>
      <c r="M404" s="31"/>
    </row>
    <row r="405" spans="8:13" ht="15.75" customHeight="1" x14ac:dyDescent="0.3">
      <c r="H405" s="31"/>
      <c r="I405" s="31"/>
      <c r="J405" s="31"/>
      <c r="K405" s="31"/>
      <c r="L405" s="31"/>
      <c r="M405" s="31"/>
    </row>
    <row r="406" spans="8:13" ht="15.75" customHeight="1" x14ac:dyDescent="0.3">
      <c r="H406" s="31"/>
      <c r="I406" s="31"/>
      <c r="J406" s="31"/>
      <c r="K406" s="31"/>
      <c r="L406" s="31"/>
      <c r="M406" s="31"/>
    </row>
    <row r="407" spans="8:13" ht="15.75" customHeight="1" x14ac:dyDescent="0.3">
      <c r="H407" s="31"/>
      <c r="I407" s="31"/>
      <c r="J407" s="31"/>
      <c r="K407" s="31"/>
      <c r="L407" s="31"/>
      <c r="M407" s="31"/>
    </row>
    <row r="408" spans="8:13" ht="15.75" customHeight="1" x14ac:dyDescent="0.3">
      <c r="H408" s="31"/>
      <c r="I408" s="31"/>
      <c r="J408" s="31"/>
      <c r="K408" s="31"/>
      <c r="L408" s="31"/>
      <c r="M408" s="31"/>
    </row>
    <row r="409" spans="8:13" ht="15.75" customHeight="1" x14ac:dyDescent="0.3">
      <c r="H409" s="31"/>
      <c r="I409" s="31"/>
      <c r="J409" s="31"/>
      <c r="K409" s="31"/>
      <c r="L409" s="31"/>
      <c r="M409" s="31"/>
    </row>
    <row r="410" spans="8:13" ht="15.75" customHeight="1" x14ac:dyDescent="0.3">
      <c r="H410" s="31"/>
      <c r="I410" s="31"/>
      <c r="J410" s="31"/>
      <c r="K410" s="31"/>
      <c r="L410" s="31"/>
      <c r="M410" s="31"/>
    </row>
    <row r="411" spans="8:13" ht="15.75" customHeight="1" x14ac:dyDescent="0.3">
      <c r="H411" s="31"/>
      <c r="I411" s="31"/>
      <c r="J411" s="31"/>
      <c r="K411" s="31"/>
      <c r="L411" s="31"/>
      <c r="M411" s="31"/>
    </row>
    <row r="412" spans="8:13" ht="15.75" customHeight="1" x14ac:dyDescent="0.3">
      <c r="H412" s="31"/>
      <c r="I412" s="31"/>
      <c r="J412" s="31"/>
      <c r="K412" s="31"/>
      <c r="L412" s="31"/>
      <c r="M412" s="31"/>
    </row>
    <row r="413" spans="8:13" ht="15.75" customHeight="1" x14ac:dyDescent="0.3">
      <c r="H413" s="31"/>
      <c r="I413" s="31"/>
      <c r="J413" s="31"/>
      <c r="K413" s="31"/>
      <c r="L413" s="31"/>
      <c r="M413" s="31"/>
    </row>
    <row r="414" spans="8:13" ht="15.75" customHeight="1" x14ac:dyDescent="0.3">
      <c r="H414" s="31"/>
      <c r="I414" s="31"/>
      <c r="J414" s="31"/>
      <c r="K414" s="31"/>
      <c r="L414" s="31"/>
      <c r="M414" s="31"/>
    </row>
    <row r="415" spans="8:13" ht="15.75" customHeight="1" x14ac:dyDescent="0.3">
      <c r="H415" s="31"/>
      <c r="I415" s="31"/>
      <c r="J415" s="31"/>
      <c r="K415" s="31"/>
      <c r="L415" s="31"/>
      <c r="M415" s="31"/>
    </row>
    <row r="416" spans="8:13" ht="15.75" customHeight="1" x14ac:dyDescent="0.3">
      <c r="H416" s="31"/>
      <c r="I416" s="31"/>
      <c r="J416" s="31"/>
      <c r="K416" s="31"/>
      <c r="L416" s="31"/>
      <c r="M416" s="31"/>
    </row>
    <row r="417" spans="8:13" ht="15.75" customHeight="1" x14ac:dyDescent="0.3">
      <c r="H417" s="31"/>
      <c r="I417" s="31"/>
      <c r="J417" s="31"/>
      <c r="K417" s="31"/>
      <c r="L417" s="31"/>
      <c r="M417" s="31"/>
    </row>
    <row r="418" spans="8:13" ht="15.75" customHeight="1" x14ac:dyDescent="0.3">
      <c r="H418" s="31"/>
      <c r="I418" s="31"/>
      <c r="J418" s="31"/>
      <c r="K418" s="31"/>
      <c r="L418" s="31"/>
      <c r="M418" s="31"/>
    </row>
    <row r="419" spans="8:13" ht="15.75" customHeight="1" x14ac:dyDescent="0.3">
      <c r="H419" s="31"/>
      <c r="I419" s="31"/>
      <c r="J419" s="31"/>
      <c r="K419" s="31"/>
      <c r="L419" s="31"/>
      <c r="M419" s="31"/>
    </row>
    <row r="420" spans="8:13" ht="15.75" customHeight="1" x14ac:dyDescent="0.3">
      <c r="H420" s="31"/>
      <c r="I420" s="31"/>
      <c r="J420" s="31"/>
      <c r="K420" s="31"/>
      <c r="L420" s="31"/>
      <c r="M420" s="31"/>
    </row>
    <row r="421" spans="8:13" ht="15.75" customHeight="1" x14ac:dyDescent="0.3">
      <c r="H421" s="31"/>
      <c r="I421" s="31"/>
      <c r="J421" s="31"/>
      <c r="K421" s="31"/>
      <c r="L421" s="31"/>
      <c r="M421" s="31"/>
    </row>
    <row r="422" spans="8:13" ht="15.75" customHeight="1" x14ac:dyDescent="0.3">
      <c r="H422" s="31"/>
      <c r="I422" s="31"/>
      <c r="J422" s="31"/>
      <c r="K422" s="31"/>
      <c r="L422" s="31"/>
      <c r="M422" s="31"/>
    </row>
    <row r="423" spans="8:13" ht="15.75" customHeight="1" x14ac:dyDescent="0.3">
      <c r="H423" s="31"/>
      <c r="I423" s="31"/>
      <c r="J423" s="31"/>
      <c r="K423" s="31"/>
      <c r="L423" s="31"/>
      <c r="M423" s="31"/>
    </row>
    <row r="424" spans="8:13" ht="15.75" customHeight="1" x14ac:dyDescent="0.3">
      <c r="H424" s="31"/>
      <c r="I424" s="31"/>
      <c r="J424" s="31"/>
      <c r="K424" s="31"/>
      <c r="L424" s="31"/>
      <c r="M424" s="31"/>
    </row>
    <row r="425" spans="8:13" ht="15.75" customHeight="1" x14ac:dyDescent="0.3">
      <c r="H425" s="31"/>
      <c r="I425" s="31"/>
      <c r="J425" s="31"/>
      <c r="K425" s="31"/>
      <c r="L425" s="31"/>
      <c r="M425" s="31"/>
    </row>
    <row r="426" spans="8:13" ht="15.75" customHeight="1" x14ac:dyDescent="0.3">
      <c r="H426" s="31"/>
      <c r="I426" s="31"/>
      <c r="J426" s="31"/>
      <c r="K426" s="31"/>
      <c r="L426" s="31"/>
      <c r="M426" s="31"/>
    </row>
    <row r="427" spans="8:13" ht="15.75" customHeight="1" x14ac:dyDescent="0.3">
      <c r="H427" s="31"/>
      <c r="I427" s="31"/>
      <c r="J427" s="31"/>
      <c r="K427" s="31"/>
      <c r="L427" s="31"/>
      <c r="M427" s="31"/>
    </row>
    <row r="428" spans="8:13" ht="15.75" customHeight="1" x14ac:dyDescent="0.3">
      <c r="H428" s="31"/>
      <c r="I428" s="31"/>
      <c r="J428" s="31"/>
      <c r="K428" s="31"/>
      <c r="L428" s="31"/>
      <c r="M428" s="31"/>
    </row>
    <row r="429" spans="8:13" ht="15.75" customHeight="1" x14ac:dyDescent="0.3">
      <c r="H429" s="31"/>
      <c r="I429" s="31"/>
      <c r="J429" s="31"/>
      <c r="K429" s="31"/>
      <c r="L429" s="31"/>
      <c r="M429" s="31"/>
    </row>
    <row r="430" spans="8:13" ht="15.75" customHeight="1" x14ac:dyDescent="0.3">
      <c r="H430" s="31"/>
      <c r="I430" s="31"/>
      <c r="J430" s="31"/>
      <c r="K430" s="31"/>
      <c r="L430" s="31"/>
      <c r="M430" s="31"/>
    </row>
    <row r="431" spans="8:13" ht="15.75" customHeight="1" x14ac:dyDescent="0.3">
      <c r="H431" s="31"/>
      <c r="I431" s="31"/>
      <c r="J431" s="31"/>
      <c r="K431" s="31"/>
      <c r="L431" s="31"/>
      <c r="M431" s="31"/>
    </row>
    <row r="432" spans="8:13" ht="15.75" customHeight="1" x14ac:dyDescent="0.3">
      <c r="H432" s="31"/>
      <c r="I432" s="31"/>
      <c r="J432" s="31"/>
      <c r="K432" s="31"/>
      <c r="L432" s="31"/>
      <c r="M432" s="31"/>
    </row>
    <row r="433" spans="8:13" ht="15.75" customHeight="1" x14ac:dyDescent="0.3">
      <c r="H433" s="31"/>
      <c r="I433" s="31"/>
      <c r="J433" s="31"/>
      <c r="K433" s="31"/>
      <c r="L433" s="31"/>
      <c r="M433" s="31"/>
    </row>
    <row r="434" spans="8:13" ht="15.75" customHeight="1" x14ac:dyDescent="0.3">
      <c r="H434" s="31"/>
      <c r="I434" s="31"/>
      <c r="J434" s="31"/>
      <c r="K434" s="31"/>
      <c r="L434" s="31"/>
      <c r="M434" s="31"/>
    </row>
    <row r="435" spans="8:13" ht="15.75" customHeight="1" x14ac:dyDescent="0.3">
      <c r="H435" s="31"/>
      <c r="I435" s="31"/>
      <c r="J435" s="31"/>
      <c r="K435" s="31"/>
      <c r="L435" s="31"/>
      <c r="M435" s="31"/>
    </row>
    <row r="436" spans="8:13" ht="15.75" customHeight="1" x14ac:dyDescent="0.3">
      <c r="H436" s="31"/>
      <c r="I436" s="31"/>
      <c r="J436" s="31"/>
      <c r="K436" s="31"/>
      <c r="L436" s="31"/>
      <c r="M436" s="31"/>
    </row>
    <row r="437" spans="8:13" ht="15.75" customHeight="1" x14ac:dyDescent="0.3">
      <c r="H437" s="31"/>
      <c r="I437" s="31"/>
      <c r="J437" s="31"/>
      <c r="K437" s="31"/>
      <c r="L437" s="31"/>
      <c r="M437" s="31"/>
    </row>
    <row r="438" spans="8:13" ht="15.75" customHeight="1" x14ac:dyDescent="0.3">
      <c r="H438" s="31"/>
      <c r="I438" s="31"/>
      <c r="J438" s="31"/>
      <c r="K438" s="31"/>
      <c r="L438" s="31"/>
      <c r="M438" s="31"/>
    </row>
    <row r="439" spans="8:13" ht="15.75" customHeight="1" x14ac:dyDescent="0.3">
      <c r="H439" s="31"/>
      <c r="I439" s="31"/>
      <c r="J439" s="31"/>
      <c r="K439" s="31"/>
      <c r="L439" s="31"/>
      <c r="M439" s="31"/>
    </row>
    <row r="440" spans="8:13" ht="15.75" customHeight="1" x14ac:dyDescent="0.3">
      <c r="H440" s="31"/>
      <c r="I440" s="31"/>
      <c r="J440" s="31"/>
      <c r="K440" s="31"/>
      <c r="L440" s="31"/>
      <c r="M440" s="31"/>
    </row>
    <row r="441" spans="8:13" ht="15.75" customHeight="1" x14ac:dyDescent="0.3">
      <c r="H441" s="31"/>
      <c r="I441" s="31"/>
      <c r="J441" s="31"/>
      <c r="K441" s="31"/>
      <c r="L441" s="31"/>
      <c r="M441" s="31"/>
    </row>
    <row r="442" spans="8:13" ht="15.75" customHeight="1" x14ac:dyDescent="0.3">
      <c r="H442" s="31"/>
      <c r="I442" s="31"/>
      <c r="J442" s="31"/>
      <c r="K442" s="31"/>
      <c r="L442" s="31"/>
      <c r="M442" s="31"/>
    </row>
    <row r="443" spans="8:13" ht="15.75" customHeight="1" x14ac:dyDescent="0.3">
      <c r="H443" s="31"/>
      <c r="I443" s="31"/>
      <c r="J443" s="31"/>
      <c r="K443" s="31"/>
      <c r="L443" s="31"/>
      <c r="M443" s="31"/>
    </row>
    <row r="444" spans="8:13" ht="15.75" customHeight="1" x14ac:dyDescent="0.3">
      <c r="H444" s="31"/>
      <c r="I444" s="31"/>
      <c r="J444" s="31"/>
      <c r="K444" s="31"/>
      <c r="L444" s="31"/>
      <c r="M444" s="31"/>
    </row>
    <row r="445" spans="8:13" ht="15.75" customHeight="1" x14ac:dyDescent="0.3">
      <c r="H445" s="31"/>
      <c r="I445" s="31"/>
      <c r="J445" s="31"/>
      <c r="K445" s="31"/>
      <c r="L445" s="31"/>
      <c r="M445" s="31"/>
    </row>
    <row r="446" spans="8:13" ht="15.75" customHeight="1" x14ac:dyDescent="0.3">
      <c r="H446" s="31"/>
      <c r="I446" s="31"/>
      <c r="J446" s="31"/>
      <c r="K446" s="31"/>
      <c r="L446" s="31"/>
      <c r="M446" s="31"/>
    </row>
    <row r="447" spans="8:13" ht="15.75" customHeight="1" x14ac:dyDescent="0.3">
      <c r="H447" s="31"/>
      <c r="I447" s="31"/>
      <c r="J447" s="31"/>
      <c r="K447" s="31"/>
      <c r="L447" s="31"/>
      <c r="M447" s="31"/>
    </row>
    <row r="448" spans="8:13" ht="15.75" customHeight="1" x14ac:dyDescent="0.3">
      <c r="H448" s="31"/>
      <c r="I448" s="31"/>
      <c r="J448" s="31"/>
      <c r="K448" s="31"/>
      <c r="L448" s="31"/>
      <c r="M448" s="31"/>
    </row>
    <row r="449" spans="8:13" ht="15.75" customHeight="1" x14ac:dyDescent="0.3">
      <c r="H449" s="31"/>
      <c r="I449" s="31"/>
      <c r="J449" s="31"/>
      <c r="K449" s="31"/>
      <c r="L449" s="31"/>
      <c r="M449" s="31"/>
    </row>
    <row r="450" spans="8:13" ht="15.75" customHeight="1" x14ac:dyDescent="0.3">
      <c r="H450" s="31"/>
      <c r="I450" s="31"/>
      <c r="J450" s="31"/>
      <c r="K450" s="31"/>
      <c r="L450" s="31"/>
      <c r="M450" s="31"/>
    </row>
    <row r="451" spans="8:13" ht="15.75" customHeight="1" x14ac:dyDescent="0.3">
      <c r="H451" s="31"/>
      <c r="I451" s="31"/>
      <c r="J451" s="31"/>
      <c r="K451" s="31"/>
      <c r="L451" s="31"/>
      <c r="M451" s="31"/>
    </row>
    <row r="452" spans="8:13" ht="15.75" customHeight="1" x14ac:dyDescent="0.3">
      <c r="H452" s="31"/>
      <c r="I452" s="31"/>
      <c r="J452" s="31"/>
      <c r="K452" s="31"/>
      <c r="L452" s="31"/>
      <c r="M452" s="31"/>
    </row>
    <row r="453" spans="8:13" ht="15.75" customHeight="1" x14ac:dyDescent="0.3">
      <c r="H453" s="31"/>
      <c r="I453" s="31"/>
      <c r="J453" s="31"/>
      <c r="K453" s="31"/>
      <c r="L453" s="31"/>
      <c r="M453" s="31"/>
    </row>
    <row r="454" spans="8:13" ht="15.75" customHeight="1" x14ac:dyDescent="0.3">
      <c r="H454" s="31"/>
      <c r="I454" s="31"/>
      <c r="J454" s="31"/>
      <c r="K454" s="31"/>
      <c r="L454" s="31"/>
      <c r="M454" s="31"/>
    </row>
    <row r="455" spans="8:13" ht="15.75" customHeight="1" x14ac:dyDescent="0.3">
      <c r="H455" s="31"/>
      <c r="I455" s="31"/>
      <c r="J455" s="31"/>
      <c r="K455" s="31"/>
      <c r="L455" s="31"/>
      <c r="M455" s="31"/>
    </row>
    <row r="456" spans="8:13" ht="15.75" customHeight="1" x14ac:dyDescent="0.3">
      <c r="H456" s="31"/>
      <c r="I456" s="31"/>
      <c r="J456" s="31"/>
      <c r="K456" s="31"/>
      <c r="L456" s="31"/>
      <c r="M456" s="31"/>
    </row>
    <row r="457" spans="8:13" ht="15.75" customHeight="1" x14ac:dyDescent="0.3">
      <c r="H457" s="31"/>
      <c r="I457" s="31"/>
      <c r="J457" s="31"/>
      <c r="K457" s="31"/>
      <c r="L457" s="31"/>
      <c r="M457" s="31"/>
    </row>
    <row r="458" spans="8:13" ht="15.75" customHeight="1" x14ac:dyDescent="0.3">
      <c r="H458" s="31"/>
      <c r="I458" s="31"/>
      <c r="J458" s="31"/>
      <c r="K458" s="31"/>
      <c r="L458" s="31"/>
      <c r="M458" s="31"/>
    </row>
    <row r="459" spans="8:13" ht="15.75" customHeight="1" x14ac:dyDescent="0.3">
      <c r="H459" s="31"/>
      <c r="I459" s="31"/>
      <c r="J459" s="31"/>
      <c r="K459" s="31"/>
      <c r="L459" s="31"/>
      <c r="M459" s="31"/>
    </row>
    <row r="460" spans="8:13" ht="15.75" customHeight="1" x14ac:dyDescent="0.3">
      <c r="H460" s="31"/>
      <c r="I460" s="31"/>
      <c r="J460" s="31"/>
      <c r="K460" s="31"/>
      <c r="L460" s="31"/>
      <c r="M460" s="31"/>
    </row>
    <row r="461" spans="8:13" ht="15.75" customHeight="1" x14ac:dyDescent="0.3">
      <c r="H461" s="31"/>
      <c r="I461" s="31"/>
      <c r="J461" s="31"/>
      <c r="K461" s="31"/>
      <c r="L461" s="31"/>
      <c r="M461" s="31"/>
    </row>
    <row r="462" spans="8:13" ht="15.75" customHeight="1" x14ac:dyDescent="0.3">
      <c r="H462" s="31"/>
      <c r="I462" s="31"/>
      <c r="J462" s="31"/>
      <c r="K462" s="31"/>
      <c r="L462" s="31"/>
      <c r="M462" s="31"/>
    </row>
    <row r="463" spans="8:13" ht="15.75" customHeight="1" x14ac:dyDescent="0.3">
      <c r="H463" s="31"/>
      <c r="I463" s="31"/>
      <c r="J463" s="31"/>
      <c r="K463" s="31"/>
      <c r="L463" s="31"/>
      <c r="M463" s="31"/>
    </row>
    <row r="464" spans="8:13" ht="15.75" customHeight="1" x14ac:dyDescent="0.3">
      <c r="H464" s="31"/>
      <c r="I464" s="31"/>
      <c r="J464" s="31"/>
      <c r="K464" s="31"/>
      <c r="L464" s="31"/>
      <c r="M464" s="31"/>
    </row>
    <row r="465" spans="8:13" ht="15.75" customHeight="1" x14ac:dyDescent="0.3">
      <c r="H465" s="31"/>
      <c r="I465" s="31"/>
      <c r="J465" s="31"/>
      <c r="K465" s="31"/>
      <c r="L465" s="31"/>
      <c r="M465" s="31"/>
    </row>
    <row r="466" spans="8:13" ht="15.75" customHeight="1" x14ac:dyDescent="0.3">
      <c r="H466" s="31"/>
      <c r="I466" s="31"/>
      <c r="J466" s="31"/>
      <c r="K466" s="31"/>
      <c r="L466" s="31"/>
      <c r="M466" s="31"/>
    </row>
    <row r="467" spans="8:13" ht="15.75" customHeight="1" x14ac:dyDescent="0.3">
      <c r="H467" s="31"/>
      <c r="I467" s="31"/>
      <c r="J467" s="31"/>
      <c r="K467" s="31"/>
      <c r="L467" s="31"/>
      <c r="M467" s="31"/>
    </row>
    <row r="468" spans="8:13" ht="15.75" customHeight="1" x14ac:dyDescent="0.3">
      <c r="H468" s="31"/>
      <c r="I468" s="31"/>
      <c r="J468" s="31"/>
      <c r="K468" s="31"/>
      <c r="L468" s="31"/>
      <c r="M468" s="31"/>
    </row>
    <row r="469" spans="8:13" ht="15.75" customHeight="1" x14ac:dyDescent="0.3">
      <c r="H469" s="31"/>
      <c r="I469" s="31"/>
      <c r="J469" s="31"/>
      <c r="K469" s="31"/>
      <c r="L469" s="31"/>
      <c r="M469" s="31"/>
    </row>
    <row r="470" spans="8:13" ht="15.75" customHeight="1" x14ac:dyDescent="0.3">
      <c r="H470" s="31"/>
      <c r="I470" s="31"/>
      <c r="J470" s="31"/>
      <c r="K470" s="31"/>
      <c r="L470" s="31"/>
      <c r="M470" s="31"/>
    </row>
    <row r="471" spans="8:13" ht="15.75" customHeight="1" x14ac:dyDescent="0.3">
      <c r="H471" s="31"/>
      <c r="I471" s="31"/>
      <c r="J471" s="31"/>
      <c r="K471" s="31"/>
      <c r="L471" s="31"/>
      <c r="M471" s="31"/>
    </row>
    <row r="472" spans="8:13" ht="15.75" customHeight="1" x14ac:dyDescent="0.3">
      <c r="H472" s="31"/>
      <c r="I472" s="31"/>
      <c r="J472" s="31"/>
      <c r="K472" s="31"/>
      <c r="L472" s="31"/>
      <c r="M472" s="31"/>
    </row>
    <row r="473" spans="8:13" ht="15.75" customHeight="1" x14ac:dyDescent="0.3">
      <c r="H473" s="31"/>
      <c r="I473" s="31"/>
      <c r="J473" s="31"/>
      <c r="K473" s="31"/>
      <c r="L473" s="31"/>
      <c r="M473" s="31"/>
    </row>
    <row r="474" spans="8:13" ht="15.75" customHeight="1" x14ac:dyDescent="0.3">
      <c r="H474" s="31"/>
      <c r="I474" s="31"/>
      <c r="J474" s="31"/>
      <c r="K474" s="31"/>
      <c r="L474" s="31"/>
      <c r="M474" s="31"/>
    </row>
    <row r="475" spans="8:13" ht="15.75" customHeight="1" x14ac:dyDescent="0.3">
      <c r="H475" s="31"/>
      <c r="I475" s="31"/>
      <c r="J475" s="31"/>
      <c r="K475" s="31"/>
      <c r="L475" s="31"/>
      <c r="M475" s="31"/>
    </row>
    <row r="476" spans="8:13" ht="15.75" customHeight="1" x14ac:dyDescent="0.3">
      <c r="H476" s="31"/>
      <c r="I476" s="31"/>
      <c r="J476" s="31"/>
      <c r="K476" s="31"/>
      <c r="L476" s="31"/>
      <c r="M476" s="31"/>
    </row>
    <row r="477" spans="8:13" ht="15.75" customHeight="1" x14ac:dyDescent="0.3">
      <c r="H477" s="31"/>
      <c r="I477" s="31"/>
      <c r="J477" s="31"/>
      <c r="K477" s="31"/>
      <c r="L477" s="31"/>
      <c r="M477" s="31"/>
    </row>
    <row r="478" spans="8:13" ht="15.75" customHeight="1" x14ac:dyDescent="0.3">
      <c r="H478" s="31"/>
      <c r="I478" s="31"/>
      <c r="J478" s="31"/>
      <c r="K478" s="31"/>
      <c r="L478" s="31"/>
      <c r="M478" s="31"/>
    </row>
    <row r="479" spans="8:13" ht="15.75" customHeight="1" x14ac:dyDescent="0.3">
      <c r="H479" s="31"/>
      <c r="I479" s="31"/>
      <c r="J479" s="31"/>
      <c r="K479" s="31"/>
      <c r="L479" s="31"/>
      <c r="M479" s="31"/>
    </row>
    <row r="480" spans="8:13" ht="15.75" customHeight="1" x14ac:dyDescent="0.3">
      <c r="H480" s="31"/>
      <c r="I480" s="31"/>
      <c r="J480" s="31"/>
      <c r="K480" s="31"/>
      <c r="L480" s="31"/>
      <c r="M480" s="31"/>
    </row>
    <row r="481" spans="8:13" ht="15.75" customHeight="1" x14ac:dyDescent="0.3">
      <c r="H481" s="31"/>
      <c r="I481" s="31"/>
      <c r="J481" s="31"/>
      <c r="K481" s="31"/>
      <c r="L481" s="31"/>
      <c r="M481" s="31"/>
    </row>
    <row r="482" spans="8:13" ht="15.75" customHeight="1" x14ac:dyDescent="0.3">
      <c r="H482" s="31"/>
      <c r="I482" s="31"/>
      <c r="J482" s="31"/>
      <c r="K482" s="31"/>
      <c r="L482" s="31"/>
      <c r="M482" s="31"/>
    </row>
    <row r="483" spans="8:13" ht="15.75" customHeight="1" x14ac:dyDescent="0.3">
      <c r="H483" s="31"/>
      <c r="I483" s="31"/>
      <c r="J483" s="31"/>
      <c r="K483" s="31"/>
      <c r="L483" s="31"/>
      <c r="M483" s="31"/>
    </row>
    <row r="484" spans="8:13" ht="15.75" customHeight="1" x14ac:dyDescent="0.3">
      <c r="H484" s="31"/>
      <c r="I484" s="31"/>
      <c r="J484" s="31"/>
      <c r="K484" s="31"/>
      <c r="L484" s="31"/>
      <c r="M484" s="31"/>
    </row>
    <row r="485" spans="8:13" ht="15.75" customHeight="1" x14ac:dyDescent="0.3">
      <c r="H485" s="31"/>
      <c r="I485" s="31"/>
      <c r="J485" s="31"/>
      <c r="K485" s="31"/>
      <c r="L485" s="31"/>
      <c r="M485" s="31"/>
    </row>
    <row r="486" spans="8:13" ht="15.75" customHeight="1" x14ac:dyDescent="0.3">
      <c r="H486" s="31"/>
      <c r="I486" s="31"/>
      <c r="J486" s="31"/>
      <c r="K486" s="31"/>
      <c r="L486" s="31"/>
      <c r="M486" s="31"/>
    </row>
    <row r="487" spans="8:13" ht="15.75" customHeight="1" x14ac:dyDescent="0.3">
      <c r="H487" s="31"/>
      <c r="I487" s="31"/>
      <c r="J487" s="31"/>
      <c r="K487" s="31"/>
      <c r="L487" s="31"/>
      <c r="M487" s="31"/>
    </row>
    <row r="488" spans="8:13" ht="15.75" customHeight="1" x14ac:dyDescent="0.3">
      <c r="H488" s="31"/>
      <c r="I488" s="31"/>
      <c r="J488" s="31"/>
      <c r="K488" s="31"/>
      <c r="L488" s="31"/>
      <c r="M488" s="31"/>
    </row>
    <row r="489" spans="8:13" ht="15.75" customHeight="1" x14ac:dyDescent="0.3">
      <c r="H489" s="31"/>
      <c r="I489" s="31"/>
      <c r="J489" s="31"/>
      <c r="K489" s="31"/>
      <c r="L489" s="31"/>
      <c r="M489" s="31"/>
    </row>
    <row r="490" spans="8:13" ht="15.75" customHeight="1" x14ac:dyDescent="0.3">
      <c r="H490" s="31"/>
      <c r="I490" s="31"/>
      <c r="J490" s="31"/>
      <c r="K490" s="31"/>
      <c r="L490" s="31"/>
      <c r="M490" s="31"/>
    </row>
    <row r="491" spans="8:13" ht="15.75" customHeight="1" x14ac:dyDescent="0.3">
      <c r="H491" s="31"/>
      <c r="I491" s="31"/>
      <c r="J491" s="31"/>
      <c r="K491" s="31"/>
      <c r="L491" s="31"/>
      <c r="M491" s="31"/>
    </row>
    <row r="492" spans="8:13" ht="15.75" customHeight="1" x14ac:dyDescent="0.3">
      <c r="H492" s="31"/>
      <c r="I492" s="31"/>
      <c r="J492" s="31"/>
      <c r="K492" s="31"/>
      <c r="L492" s="31"/>
      <c r="M492" s="31"/>
    </row>
    <row r="493" spans="8:13" ht="15.75" customHeight="1" x14ac:dyDescent="0.3">
      <c r="H493" s="31"/>
      <c r="I493" s="31"/>
      <c r="J493" s="31"/>
      <c r="K493" s="31"/>
      <c r="L493" s="31"/>
      <c r="M493" s="31"/>
    </row>
    <row r="494" spans="8:13" ht="15.75" customHeight="1" x14ac:dyDescent="0.3">
      <c r="H494" s="31"/>
      <c r="I494" s="31"/>
      <c r="J494" s="31"/>
      <c r="K494" s="31"/>
      <c r="L494" s="31"/>
      <c r="M494" s="31"/>
    </row>
    <row r="495" spans="8:13" ht="15.75" customHeight="1" x14ac:dyDescent="0.3">
      <c r="H495" s="31"/>
      <c r="I495" s="31"/>
      <c r="J495" s="31"/>
      <c r="K495" s="31"/>
      <c r="L495" s="31"/>
      <c r="M495" s="31"/>
    </row>
    <row r="496" spans="8:13" ht="15.75" customHeight="1" x14ac:dyDescent="0.3">
      <c r="H496" s="31"/>
      <c r="I496" s="31"/>
      <c r="J496" s="31"/>
      <c r="K496" s="31"/>
      <c r="L496" s="31"/>
      <c r="M496" s="31"/>
    </row>
    <row r="497" spans="8:13" ht="15.75" customHeight="1" x14ac:dyDescent="0.3">
      <c r="H497" s="31"/>
      <c r="I497" s="31"/>
      <c r="J497" s="31"/>
      <c r="K497" s="31"/>
      <c r="L497" s="31"/>
      <c r="M497" s="31"/>
    </row>
    <row r="498" spans="8:13" ht="15.75" customHeight="1" x14ac:dyDescent="0.3">
      <c r="H498" s="31"/>
      <c r="I498" s="31"/>
      <c r="J498" s="31"/>
      <c r="K498" s="31"/>
      <c r="L498" s="31"/>
      <c r="M498" s="31"/>
    </row>
    <row r="499" spans="8:13" ht="15.75" customHeight="1" x14ac:dyDescent="0.3">
      <c r="H499" s="31"/>
      <c r="I499" s="31"/>
      <c r="J499" s="31"/>
      <c r="K499" s="31"/>
      <c r="L499" s="31"/>
      <c r="M499" s="31"/>
    </row>
    <row r="500" spans="8:13" ht="15.75" customHeight="1" x14ac:dyDescent="0.3">
      <c r="H500" s="31"/>
      <c r="I500" s="31"/>
      <c r="J500" s="31"/>
      <c r="K500" s="31"/>
      <c r="L500" s="31"/>
      <c r="M500" s="31"/>
    </row>
    <row r="501" spans="8:13" ht="15.75" customHeight="1" x14ac:dyDescent="0.3">
      <c r="H501" s="31"/>
      <c r="I501" s="31"/>
      <c r="J501" s="31"/>
      <c r="K501" s="31"/>
      <c r="L501" s="31"/>
      <c r="M501" s="31"/>
    </row>
    <row r="502" spans="8:13" ht="15.75" customHeight="1" x14ac:dyDescent="0.3">
      <c r="H502" s="31"/>
      <c r="I502" s="31"/>
      <c r="J502" s="31"/>
      <c r="K502" s="31"/>
      <c r="L502" s="31"/>
      <c r="M502" s="31"/>
    </row>
    <row r="503" spans="8:13" ht="15.75" customHeight="1" x14ac:dyDescent="0.3">
      <c r="H503" s="31"/>
      <c r="I503" s="31"/>
      <c r="J503" s="31"/>
      <c r="K503" s="31"/>
      <c r="L503" s="31"/>
      <c r="M503" s="31"/>
    </row>
    <row r="504" spans="8:13" ht="15.75" customHeight="1" x14ac:dyDescent="0.3">
      <c r="H504" s="31"/>
      <c r="I504" s="31"/>
      <c r="J504" s="31"/>
      <c r="K504" s="31"/>
      <c r="L504" s="31"/>
      <c r="M504" s="31"/>
    </row>
    <row r="505" spans="8:13" ht="15.75" customHeight="1" x14ac:dyDescent="0.3">
      <c r="H505" s="31"/>
      <c r="I505" s="31"/>
      <c r="J505" s="31"/>
      <c r="K505" s="31"/>
      <c r="L505" s="31"/>
      <c r="M505" s="31"/>
    </row>
    <row r="506" spans="8:13" ht="15.75" customHeight="1" x14ac:dyDescent="0.3">
      <c r="H506" s="31"/>
      <c r="I506" s="31"/>
      <c r="J506" s="31"/>
      <c r="K506" s="31"/>
      <c r="L506" s="31"/>
      <c r="M506" s="31"/>
    </row>
    <row r="507" spans="8:13" ht="15.75" customHeight="1" x14ac:dyDescent="0.3">
      <c r="H507" s="31"/>
      <c r="I507" s="31"/>
      <c r="J507" s="31"/>
      <c r="K507" s="31"/>
      <c r="L507" s="31"/>
      <c r="M507" s="31"/>
    </row>
    <row r="508" spans="8:13" ht="15.75" customHeight="1" x14ac:dyDescent="0.3">
      <c r="H508" s="31"/>
      <c r="I508" s="31"/>
      <c r="J508" s="31"/>
      <c r="K508" s="31"/>
      <c r="L508" s="31"/>
      <c r="M508" s="31"/>
    </row>
    <row r="509" spans="8:13" ht="15.75" customHeight="1" x14ac:dyDescent="0.3">
      <c r="H509" s="31"/>
      <c r="I509" s="31"/>
      <c r="J509" s="31"/>
      <c r="K509" s="31"/>
      <c r="L509" s="31"/>
      <c r="M509" s="31"/>
    </row>
    <row r="510" spans="8:13" ht="15.75" customHeight="1" x14ac:dyDescent="0.3">
      <c r="H510" s="31"/>
      <c r="I510" s="31"/>
      <c r="J510" s="31"/>
      <c r="K510" s="31"/>
      <c r="L510" s="31"/>
      <c r="M510" s="31"/>
    </row>
    <row r="511" spans="8:13" ht="15.75" customHeight="1" x14ac:dyDescent="0.3">
      <c r="H511" s="31"/>
      <c r="I511" s="31"/>
      <c r="J511" s="31"/>
      <c r="K511" s="31"/>
      <c r="L511" s="31"/>
      <c r="M511" s="31"/>
    </row>
    <row r="512" spans="8:13" ht="15.75" customHeight="1" x14ac:dyDescent="0.3">
      <c r="H512" s="31"/>
      <c r="I512" s="31"/>
      <c r="J512" s="31"/>
      <c r="K512" s="31"/>
      <c r="L512" s="31"/>
      <c r="M512" s="31"/>
    </row>
    <row r="513" spans="8:13" ht="15.75" customHeight="1" x14ac:dyDescent="0.3">
      <c r="H513" s="31"/>
      <c r="I513" s="31"/>
      <c r="J513" s="31"/>
      <c r="K513" s="31"/>
      <c r="L513" s="31"/>
      <c r="M513" s="31"/>
    </row>
    <row r="514" spans="8:13" ht="15.75" customHeight="1" x14ac:dyDescent="0.3">
      <c r="H514" s="31"/>
      <c r="I514" s="31"/>
      <c r="J514" s="31"/>
      <c r="K514" s="31"/>
      <c r="L514" s="31"/>
      <c r="M514" s="31"/>
    </row>
    <row r="515" spans="8:13" ht="15.75" customHeight="1" x14ac:dyDescent="0.3">
      <c r="H515" s="31"/>
      <c r="I515" s="31"/>
      <c r="J515" s="31"/>
      <c r="K515" s="31"/>
      <c r="L515" s="31"/>
      <c r="M515" s="31"/>
    </row>
    <row r="516" spans="8:13" ht="15.75" customHeight="1" x14ac:dyDescent="0.3">
      <c r="H516" s="31"/>
      <c r="I516" s="31"/>
      <c r="J516" s="31"/>
      <c r="K516" s="31"/>
      <c r="L516" s="31"/>
      <c r="M516" s="31"/>
    </row>
    <row r="517" spans="8:13" ht="15.75" customHeight="1" x14ac:dyDescent="0.3">
      <c r="H517" s="31"/>
      <c r="I517" s="31"/>
      <c r="J517" s="31"/>
      <c r="K517" s="31"/>
      <c r="L517" s="31"/>
      <c r="M517" s="31"/>
    </row>
    <row r="518" spans="8:13" ht="15.75" customHeight="1" x14ac:dyDescent="0.3">
      <c r="H518" s="31"/>
      <c r="I518" s="31"/>
      <c r="J518" s="31"/>
      <c r="K518" s="31"/>
      <c r="L518" s="31"/>
      <c r="M518" s="31"/>
    </row>
    <row r="519" spans="8:13" ht="15.75" customHeight="1" x14ac:dyDescent="0.3">
      <c r="H519" s="31"/>
      <c r="I519" s="31"/>
      <c r="J519" s="31"/>
      <c r="K519" s="31"/>
      <c r="L519" s="31"/>
      <c r="M519" s="31"/>
    </row>
    <row r="520" spans="8:13" ht="15.75" customHeight="1" x14ac:dyDescent="0.3">
      <c r="H520" s="31"/>
      <c r="I520" s="31"/>
      <c r="J520" s="31"/>
      <c r="K520" s="31"/>
      <c r="L520" s="31"/>
      <c r="M520" s="31"/>
    </row>
    <row r="521" spans="8:13" ht="15.75" customHeight="1" x14ac:dyDescent="0.3">
      <c r="H521" s="31"/>
      <c r="I521" s="31"/>
      <c r="J521" s="31"/>
      <c r="K521" s="31"/>
      <c r="L521" s="31"/>
      <c r="M521" s="31"/>
    </row>
    <row r="522" spans="8:13" ht="15.75" customHeight="1" x14ac:dyDescent="0.3">
      <c r="H522" s="31"/>
      <c r="I522" s="31"/>
      <c r="J522" s="31"/>
      <c r="K522" s="31"/>
      <c r="L522" s="31"/>
      <c r="M522" s="31"/>
    </row>
    <row r="523" spans="8:13" ht="15.75" customHeight="1" x14ac:dyDescent="0.3">
      <c r="H523" s="31"/>
      <c r="I523" s="31"/>
      <c r="J523" s="31"/>
      <c r="K523" s="31"/>
      <c r="L523" s="31"/>
      <c r="M523" s="31"/>
    </row>
    <row r="524" spans="8:13" ht="15.75" customHeight="1" x14ac:dyDescent="0.3">
      <c r="H524" s="31"/>
      <c r="I524" s="31"/>
      <c r="J524" s="31"/>
      <c r="K524" s="31"/>
      <c r="L524" s="31"/>
      <c r="M524" s="31"/>
    </row>
    <row r="525" spans="8:13" ht="15.75" customHeight="1" x14ac:dyDescent="0.3">
      <c r="H525" s="31"/>
      <c r="I525" s="31"/>
      <c r="J525" s="31"/>
      <c r="K525" s="31"/>
      <c r="L525" s="31"/>
      <c r="M525" s="31"/>
    </row>
    <row r="526" spans="8:13" ht="15.75" customHeight="1" x14ac:dyDescent="0.3">
      <c r="H526" s="31"/>
      <c r="I526" s="31"/>
      <c r="J526" s="31"/>
      <c r="K526" s="31"/>
      <c r="L526" s="31"/>
      <c r="M526" s="31"/>
    </row>
    <row r="527" spans="8:13" ht="15.75" customHeight="1" x14ac:dyDescent="0.3">
      <c r="H527" s="31"/>
      <c r="I527" s="31"/>
      <c r="J527" s="31"/>
      <c r="K527" s="31"/>
      <c r="L527" s="31"/>
      <c r="M527" s="31"/>
    </row>
    <row r="528" spans="8:13" ht="15.75" customHeight="1" x14ac:dyDescent="0.3">
      <c r="H528" s="31"/>
      <c r="I528" s="31"/>
      <c r="J528" s="31"/>
      <c r="K528" s="31"/>
      <c r="L528" s="31"/>
      <c r="M528" s="31"/>
    </row>
    <row r="529" spans="8:13" ht="15.75" customHeight="1" x14ac:dyDescent="0.3">
      <c r="H529" s="31"/>
      <c r="I529" s="31"/>
      <c r="J529" s="31"/>
      <c r="K529" s="31"/>
      <c r="L529" s="31"/>
      <c r="M529" s="31"/>
    </row>
    <row r="530" spans="8:13" ht="15.75" customHeight="1" x14ac:dyDescent="0.3">
      <c r="H530" s="31"/>
      <c r="I530" s="31"/>
      <c r="J530" s="31"/>
      <c r="K530" s="31"/>
      <c r="L530" s="31"/>
      <c r="M530" s="31"/>
    </row>
    <row r="531" spans="8:13" ht="15.75" customHeight="1" x14ac:dyDescent="0.3">
      <c r="H531" s="31"/>
      <c r="I531" s="31"/>
      <c r="J531" s="31"/>
      <c r="K531" s="31"/>
      <c r="L531" s="31"/>
      <c r="M531" s="31"/>
    </row>
    <row r="532" spans="8:13" ht="15.75" customHeight="1" x14ac:dyDescent="0.3">
      <c r="H532" s="31"/>
      <c r="I532" s="31"/>
      <c r="J532" s="31"/>
      <c r="K532" s="31"/>
      <c r="L532" s="31"/>
      <c r="M532" s="31"/>
    </row>
    <row r="533" spans="8:13" ht="15.75" customHeight="1" x14ac:dyDescent="0.3">
      <c r="H533" s="31"/>
      <c r="I533" s="31"/>
      <c r="J533" s="31"/>
      <c r="K533" s="31"/>
      <c r="L533" s="31"/>
      <c r="M533" s="31"/>
    </row>
    <row r="534" spans="8:13" ht="15.75" customHeight="1" x14ac:dyDescent="0.3">
      <c r="H534" s="31"/>
      <c r="I534" s="31"/>
      <c r="J534" s="31"/>
      <c r="K534" s="31"/>
      <c r="L534" s="31"/>
      <c r="M534" s="31"/>
    </row>
    <row r="535" spans="8:13" ht="15.75" customHeight="1" x14ac:dyDescent="0.3">
      <c r="H535" s="31"/>
      <c r="I535" s="31"/>
      <c r="J535" s="31"/>
      <c r="K535" s="31"/>
      <c r="L535" s="31"/>
      <c r="M535" s="31"/>
    </row>
    <row r="536" spans="8:13" ht="15.75" customHeight="1" x14ac:dyDescent="0.3">
      <c r="H536" s="31"/>
      <c r="I536" s="31"/>
      <c r="J536" s="31"/>
      <c r="K536" s="31"/>
      <c r="L536" s="31"/>
      <c r="M536" s="31"/>
    </row>
    <row r="537" spans="8:13" ht="15.75" customHeight="1" x14ac:dyDescent="0.3">
      <c r="H537" s="31"/>
      <c r="I537" s="31"/>
      <c r="J537" s="31"/>
      <c r="K537" s="31"/>
      <c r="L537" s="31"/>
      <c r="M537" s="31"/>
    </row>
    <row r="538" spans="8:13" ht="15.75" customHeight="1" x14ac:dyDescent="0.3">
      <c r="H538" s="31"/>
      <c r="I538" s="31"/>
      <c r="J538" s="31"/>
      <c r="K538" s="31"/>
      <c r="L538" s="31"/>
      <c r="M538" s="31"/>
    </row>
    <row r="539" spans="8:13" ht="15.75" customHeight="1" x14ac:dyDescent="0.3">
      <c r="H539" s="31"/>
      <c r="I539" s="31"/>
      <c r="J539" s="31"/>
      <c r="K539" s="31"/>
      <c r="L539" s="31"/>
      <c r="M539" s="31"/>
    </row>
    <row r="540" spans="8:13" ht="15.75" customHeight="1" x14ac:dyDescent="0.3">
      <c r="H540" s="31"/>
      <c r="I540" s="31"/>
      <c r="J540" s="31"/>
      <c r="K540" s="31"/>
      <c r="L540" s="31"/>
      <c r="M540" s="31"/>
    </row>
    <row r="541" spans="8:13" ht="15.75" customHeight="1" x14ac:dyDescent="0.3">
      <c r="H541" s="31"/>
      <c r="I541" s="31"/>
      <c r="J541" s="31"/>
      <c r="K541" s="31"/>
      <c r="L541" s="31"/>
      <c r="M541" s="31"/>
    </row>
    <row r="542" spans="8:13" ht="15.75" customHeight="1" x14ac:dyDescent="0.3">
      <c r="H542" s="31"/>
      <c r="I542" s="31"/>
      <c r="J542" s="31"/>
      <c r="K542" s="31"/>
      <c r="L542" s="31"/>
      <c r="M542" s="31"/>
    </row>
    <row r="543" spans="8:13" ht="15.75" customHeight="1" x14ac:dyDescent="0.3">
      <c r="H543" s="31"/>
      <c r="I543" s="31"/>
      <c r="J543" s="31"/>
      <c r="K543" s="31"/>
      <c r="L543" s="31"/>
      <c r="M543" s="31"/>
    </row>
    <row r="544" spans="8:13" ht="15.75" customHeight="1" x14ac:dyDescent="0.3">
      <c r="H544" s="31"/>
      <c r="I544" s="31"/>
      <c r="J544" s="31"/>
      <c r="K544" s="31"/>
      <c r="L544" s="31"/>
      <c r="M544" s="31"/>
    </row>
    <row r="545" spans="8:13" ht="15.75" customHeight="1" x14ac:dyDescent="0.3">
      <c r="H545" s="31"/>
      <c r="I545" s="31"/>
      <c r="J545" s="31"/>
      <c r="K545" s="31"/>
      <c r="L545" s="31"/>
      <c r="M545" s="31"/>
    </row>
    <row r="546" spans="8:13" ht="15.75" customHeight="1" x14ac:dyDescent="0.3">
      <c r="H546" s="31"/>
      <c r="I546" s="31"/>
      <c r="J546" s="31"/>
      <c r="K546" s="31"/>
      <c r="L546" s="31"/>
      <c r="M546" s="31"/>
    </row>
    <row r="547" spans="8:13" ht="15.75" customHeight="1" x14ac:dyDescent="0.3">
      <c r="H547" s="31"/>
      <c r="I547" s="31"/>
      <c r="J547" s="31"/>
      <c r="K547" s="31"/>
      <c r="L547" s="31"/>
      <c r="M547" s="31"/>
    </row>
    <row r="548" spans="8:13" ht="15.75" customHeight="1" x14ac:dyDescent="0.3">
      <c r="H548" s="31"/>
      <c r="I548" s="31"/>
      <c r="J548" s="31"/>
      <c r="K548" s="31"/>
      <c r="L548" s="31"/>
      <c r="M548" s="31"/>
    </row>
    <row r="549" spans="8:13" ht="15.75" customHeight="1" x14ac:dyDescent="0.3">
      <c r="H549" s="31"/>
      <c r="I549" s="31"/>
      <c r="J549" s="31"/>
      <c r="K549" s="31"/>
      <c r="L549" s="31"/>
      <c r="M549" s="31"/>
    </row>
    <row r="550" spans="8:13" ht="15.75" customHeight="1" x14ac:dyDescent="0.3">
      <c r="H550" s="31"/>
      <c r="I550" s="31"/>
      <c r="J550" s="31"/>
      <c r="K550" s="31"/>
      <c r="L550" s="31"/>
      <c r="M550" s="31"/>
    </row>
    <row r="551" spans="8:13" ht="15.75" customHeight="1" x14ac:dyDescent="0.3">
      <c r="H551" s="31"/>
      <c r="I551" s="31"/>
      <c r="J551" s="31"/>
      <c r="K551" s="31"/>
      <c r="L551" s="31"/>
      <c r="M551" s="31"/>
    </row>
    <row r="552" spans="8:13" ht="15.75" customHeight="1" x14ac:dyDescent="0.3">
      <c r="H552" s="31"/>
      <c r="I552" s="31"/>
      <c r="J552" s="31"/>
      <c r="K552" s="31"/>
      <c r="L552" s="31"/>
      <c r="M552" s="31"/>
    </row>
    <row r="553" spans="8:13" ht="15.75" customHeight="1" x14ac:dyDescent="0.3">
      <c r="H553" s="31"/>
      <c r="I553" s="31"/>
      <c r="J553" s="31"/>
      <c r="K553" s="31"/>
      <c r="L553" s="31"/>
      <c r="M553" s="31"/>
    </row>
    <row r="554" spans="8:13" ht="15.75" customHeight="1" x14ac:dyDescent="0.3">
      <c r="H554" s="31"/>
      <c r="I554" s="31"/>
      <c r="J554" s="31"/>
      <c r="K554" s="31"/>
      <c r="L554" s="31"/>
      <c r="M554" s="31"/>
    </row>
    <row r="555" spans="8:13" ht="15.75" customHeight="1" x14ac:dyDescent="0.3">
      <c r="H555" s="31"/>
      <c r="I555" s="31"/>
      <c r="J555" s="31"/>
      <c r="K555" s="31"/>
      <c r="L555" s="31"/>
      <c r="M555" s="31"/>
    </row>
    <row r="556" spans="8:13" ht="15.75" customHeight="1" x14ac:dyDescent="0.3">
      <c r="H556" s="31"/>
      <c r="I556" s="31"/>
      <c r="J556" s="31"/>
      <c r="K556" s="31"/>
      <c r="L556" s="31"/>
      <c r="M556" s="31"/>
    </row>
    <row r="557" spans="8:13" ht="15.75" customHeight="1" x14ac:dyDescent="0.3">
      <c r="H557" s="31"/>
      <c r="I557" s="31"/>
      <c r="J557" s="31"/>
      <c r="K557" s="31"/>
      <c r="L557" s="31"/>
      <c r="M557" s="31"/>
    </row>
    <row r="558" spans="8:13" ht="15.75" customHeight="1" x14ac:dyDescent="0.3">
      <c r="H558" s="31"/>
      <c r="I558" s="31"/>
      <c r="J558" s="31"/>
      <c r="K558" s="31"/>
      <c r="L558" s="31"/>
      <c r="M558" s="31"/>
    </row>
    <row r="559" spans="8:13" ht="15.75" customHeight="1" x14ac:dyDescent="0.3">
      <c r="H559" s="31"/>
      <c r="I559" s="31"/>
      <c r="J559" s="31"/>
      <c r="K559" s="31"/>
      <c r="L559" s="31"/>
      <c r="M559" s="31"/>
    </row>
    <row r="560" spans="8:13" ht="15.75" customHeight="1" x14ac:dyDescent="0.3">
      <c r="H560" s="31"/>
      <c r="I560" s="31"/>
      <c r="J560" s="31"/>
      <c r="K560" s="31"/>
      <c r="L560" s="31"/>
      <c r="M560" s="31"/>
    </row>
    <row r="561" spans="8:13" ht="15.75" customHeight="1" x14ac:dyDescent="0.3">
      <c r="H561" s="31"/>
      <c r="I561" s="31"/>
      <c r="J561" s="31"/>
      <c r="K561" s="31"/>
      <c r="L561" s="31"/>
      <c r="M561" s="31"/>
    </row>
    <row r="562" spans="8:13" ht="15.75" customHeight="1" x14ac:dyDescent="0.3">
      <c r="H562" s="31"/>
      <c r="I562" s="31"/>
      <c r="J562" s="31"/>
      <c r="K562" s="31"/>
      <c r="L562" s="31"/>
      <c r="M562" s="31"/>
    </row>
    <row r="563" spans="8:13" ht="15.75" customHeight="1" x14ac:dyDescent="0.3">
      <c r="H563" s="31"/>
      <c r="I563" s="31"/>
      <c r="J563" s="31"/>
      <c r="K563" s="31"/>
      <c r="L563" s="31"/>
      <c r="M563" s="31"/>
    </row>
    <row r="564" spans="8:13" ht="15.75" customHeight="1" x14ac:dyDescent="0.3">
      <c r="H564" s="31"/>
      <c r="I564" s="31"/>
      <c r="J564" s="31"/>
      <c r="K564" s="31"/>
      <c r="L564" s="31"/>
      <c r="M564" s="31"/>
    </row>
    <row r="565" spans="8:13" ht="15.75" customHeight="1" x14ac:dyDescent="0.3">
      <c r="H565" s="31"/>
      <c r="I565" s="31"/>
      <c r="J565" s="31"/>
      <c r="K565" s="31"/>
      <c r="L565" s="31"/>
      <c r="M565" s="31"/>
    </row>
    <row r="566" spans="8:13" ht="15.75" customHeight="1" x14ac:dyDescent="0.3">
      <c r="H566" s="31"/>
      <c r="I566" s="31"/>
      <c r="J566" s="31"/>
      <c r="K566" s="31"/>
      <c r="L566" s="31"/>
      <c r="M566" s="31"/>
    </row>
    <row r="567" spans="8:13" ht="15.75" customHeight="1" x14ac:dyDescent="0.3">
      <c r="H567" s="31"/>
      <c r="I567" s="31"/>
      <c r="J567" s="31"/>
      <c r="K567" s="31"/>
      <c r="L567" s="31"/>
      <c r="M567" s="31"/>
    </row>
    <row r="568" spans="8:13" ht="15.75" customHeight="1" x14ac:dyDescent="0.3">
      <c r="H568" s="31"/>
      <c r="I568" s="31"/>
      <c r="J568" s="31"/>
      <c r="K568" s="31"/>
      <c r="L568" s="31"/>
      <c r="M568" s="31"/>
    </row>
    <row r="569" spans="8:13" ht="15.75" customHeight="1" x14ac:dyDescent="0.3">
      <c r="H569" s="31"/>
      <c r="I569" s="31"/>
      <c r="J569" s="31"/>
      <c r="K569" s="31"/>
      <c r="L569" s="31"/>
      <c r="M569" s="31"/>
    </row>
    <row r="570" spans="8:13" ht="15.75" customHeight="1" x14ac:dyDescent="0.3">
      <c r="H570" s="31"/>
      <c r="I570" s="31"/>
      <c r="J570" s="31"/>
      <c r="K570" s="31"/>
      <c r="L570" s="31"/>
      <c r="M570" s="31"/>
    </row>
    <row r="571" spans="8:13" ht="15.75" customHeight="1" x14ac:dyDescent="0.3">
      <c r="H571" s="31"/>
      <c r="I571" s="31"/>
      <c r="J571" s="31"/>
      <c r="K571" s="31"/>
      <c r="L571" s="31"/>
      <c r="M571" s="31"/>
    </row>
    <row r="572" spans="8:13" ht="15.75" customHeight="1" x14ac:dyDescent="0.3">
      <c r="H572" s="31"/>
      <c r="I572" s="31"/>
      <c r="J572" s="31"/>
      <c r="K572" s="31"/>
      <c r="L572" s="31"/>
      <c r="M572" s="31"/>
    </row>
    <row r="573" spans="8:13" ht="15.75" customHeight="1" x14ac:dyDescent="0.3">
      <c r="H573" s="31"/>
      <c r="I573" s="31"/>
      <c r="J573" s="31"/>
      <c r="K573" s="31"/>
      <c r="L573" s="31"/>
      <c r="M573" s="31"/>
    </row>
    <row r="574" spans="8:13" ht="15.75" customHeight="1" x14ac:dyDescent="0.3">
      <c r="H574" s="31"/>
      <c r="I574" s="31"/>
      <c r="J574" s="31"/>
      <c r="K574" s="31"/>
      <c r="L574" s="31"/>
      <c r="M574" s="31"/>
    </row>
    <row r="575" spans="8:13" ht="15.75" customHeight="1" x14ac:dyDescent="0.3">
      <c r="H575" s="31"/>
      <c r="I575" s="31"/>
      <c r="J575" s="31"/>
      <c r="K575" s="31"/>
      <c r="L575" s="31"/>
      <c r="M575" s="31"/>
    </row>
    <row r="576" spans="8:13" ht="15.75" customHeight="1" x14ac:dyDescent="0.3">
      <c r="H576" s="31"/>
      <c r="I576" s="31"/>
      <c r="J576" s="31"/>
      <c r="K576" s="31"/>
      <c r="L576" s="31"/>
      <c r="M576" s="31"/>
    </row>
    <row r="577" spans="8:13" ht="15.75" customHeight="1" x14ac:dyDescent="0.3">
      <c r="H577" s="31"/>
      <c r="I577" s="31"/>
      <c r="J577" s="31"/>
      <c r="K577" s="31"/>
      <c r="L577" s="31"/>
      <c r="M577" s="31"/>
    </row>
    <row r="578" spans="8:13" ht="15.75" customHeight="1" x14ac:dyDescent="0.3">
      <c r="H578" s="31"/>
      <c r="I578" s="31"/>
      <c r="J578" s="31"/>
      <c r="K578" s="31"/>
      <c r="L578" s="31"/>
      <c r="M578" s="31"/>
    </row>
    <row r="579" spans="8:13" ht="15.75" customHeight="1" x14ac:dyDescent="0.3">
      <c r="H579" s="31"/>
      <c r="I579" s="31"/>
      <c r="J579" s="31"/>
      <c r="K579" s="31"/>
      <c r="L579" s="31"/>
      <c r="M579" s="31"/>
    </row>
    <row r="580" spans="8:13" ht="15.75" customHeight="1" x14ac:dyDescent="0.3">
      <c r="H580" s="31"/>
      <c r="I580" s="31"/>
      <c r="J580" s="31"/>
      <c r="K580" s="31"/>
      <c r="L580" s="31"/>
      <c r="M580" s="31"/>
    </row>
    <row r="581" spans="8:13" ht="15.75" customHeight="1" x14ac:dyDescent="0.3">
      <c r="H581" s="31"/>
      <c r="I581" s="31"/>
      <c r="J581" s="31"/>
      <c r="K581" s="31"/>
      <c r="L581" s="31"/>
      <c r="M581" s="31"/>
    </row>
    <row r="582" spans="8:13" ht="15.75" customHeight="1" x14ac:dyDescent="0.3">
      <c r="H582" s="31"/>
      <c r="I582" s="31"/>
      <c r="J582" s="31"/>
      <c r="K582" s="31"/>
      <c r="L582" s="31"/>
      <c r="M582" s="31"/>
    </row>
    <row r="583" spans="8:13" ht="15.75" customHeight="1" x14ac:dyDescent="0.3">
      <c r="H583" s="31"/>
      <c r="I583" s="31"/>
      <c r="J583" s="31"/>
      <c r="K583" s="31"/>
      <c r="L583" s="31"/>
      <c r="M583" s="31"/>
    </row>
    <row r="584" spans="8:13" ht="15.75" customHeight="1" x14ac:dyDescent="0.3">
      <c r="H584" s="31"/>
      <c r="I584" s="31"/>
      <c r="J584" s="31"/>
      <c r="K584" s="31"/>
      <c r="L584" s="31"/>
      <c r="M584" s="31"/>
    </row>
    <row r="585" spans="8:13" ht="15.75" customHeight="1" x14ac:dyDescent="0.3">
      <c r="H585" s="31"/>
      <c r="I585" s="31"/>
      <c r="J585" s="31"/>
      <c r="K585" s="31"/>
      <c r="L585" s="31"/>
      <c r="M585" s="31"/>
    </row>
    <row r="586" spans="8:13" ht="15.75" customHeight="1" x14ac:dyDescent="0.3">
      <c r="H586" s="31"/>
      <c r="I586" s="31"/>
      <c r="J586" s="31"/>
      <c r="K586" s="31"/>
      <c r="L586" s="31"/>
      <c r="M586" s="31"/>
    </row>
    <row r="587" spans="8:13" ht="15.75" customHeight="1" x14ac:dyDescent="0.3">
      <c r="H587" s="31"/>
      <c r="I587" s="31"/>
      <c r="J587" s="31"/>
      <c r="K587" s="31"/>
      <c r="L587" s="31"/>
      <c r="M587" s="31"/>
    </row>
    <row r="588" spans="8:13" ht="15.75" customHeight="1" x14ac:dyDescent="0.3">
      <c r="H588" s="31"/>
      <c r="I588" s="31"/>
      <c r="J588" s="31"/>
      <c r="K588" s="31"/>
      <c r="L588" s="31"/>
      <c r="M588" s="31"/>
    </row>
    <row r="589" spans="8:13" ht="15.75" customHeight="1" x14ac:dyDescent="0.3">
      <c r="H589" s="31"/>
      <c r="I589" s="31"/>
      <c r="J589" s="31"/>
      <c r="K589" s="31"/>
      <c r="L589" s="31"/>
      <c r="M589" s="31"/>
    </row>
    <row r="590" spans="8:13" ht="15.75" customHeight="1" x14ac:dyDescent="0.3">
      <c r="H590" s="31"/>
      <c r="I590" s="31"/>
      <c r="J590" s="31"/>
      <c r="K590" s="31"/>
      <c r="L590" s="31"/>
      <c r="M590" s="31"/>
    </row>
    <row r="591" spans="8:13" ht="15.75" customHeight="1" x14ac:dyDescent="0.3">
      <c r="H591" s="31"/>
      <c r="I591" s="31"/>
      <c r="J591" s="31"/>
      <c r="K591" s="31"/>
      <c r="L591" s="31"/>
      <c r="M591" s="31"/>
    </row>
    <row r="592" spans="8:13" ht="15.75" customHeight="1" x14ac:dyDescent="0.3">
      <c r="H592" s="31"/>
      <c r="I592" s="31"/>
      <c r="J592" s="31"/>
      <c r="K592" s="31"/>
      <c r="L592" s="31"/>
      <c r="M592" s="31"/>
    </row>
    <row r="593" spans="8:13" ht="15.75" customHeight="1" x14ac:dyDescent="0.3">
      <c r="H593" s="31"/>
      <c r="I593" s="31"/>
      <c r="J593" s="31"/>
      <c r="K593" s="31"/>
      <c r="L593" s="31"/>
      <c r="M593" s="31"/>
    </row>
    <row r="594" spans="8:13" ht="15.75" customHeight="1" x14ac:dyDescent="0.3">
      <c r="H594" s="31"/>
      <c r="I594" s="31"/>
      <c r="J594" s="31"/>
      <c r="K594" s="31"/>
      <c r="L594" s="31"/>
      <c r="M594" s="31"/>
    </row>
    <row r="595" spans="8:13" ht="15.75" customHeight="1" x14ac:dyDescent="0.3">
      <c r="H595" s="31"/>
      <c r="I595" s="31"/>
      <c r="J595" s="31"/>
      <c r="K595" s="31"/>
      <c r="L595" s="31"/>
      <c r="M595" s="31"/>
    </row>
    <row r="596" spans="8:13" ht="15.75" customHeight="1" x14ac:dyDescent="0.3">
      <c r="H596" s="31"/>
      <c r="I596" s="31"/>
      <c r="J596" s="31"/>
      <c r="K596" s="31"/>
      <c r="L596" s="31"/>
      <c r="M596" s="31"/>
    </row>
    <row r="597" spans="8:13" ht="15.75" customHeight="1" x14ac:dyDescent="0.3">
      <c r="H597" s="31"/>
      <c r="I597" s="31"/>
      <c r="J597" s="31"/>
      <c r="K597" s="31"/>
      <c r="L597" s="31"/>
      <c r="M597" s="31"/>
    </row>
    <row r="598" spans="8:13" ht="15.75" customHeight="1" x14ac:dyDescent="0.3">
      <c r="H598" s="31"/>
      <c r="I598" s="31"/>
      <c r="J598" s="31"/>
      <c r="K598" s="31"/>
      <c r="L598" s="31"/>
      <c r="M598" s="31"/>
    </row>
    <row r="599" spans="8:13" ht="15.75" customHeight="1" x14ac:dyDescent="0.3">
      <c r="H599" s="31"/>
      <c r="I599" s="31"/>
      <c r="J599" s="31"/>
      <c r="K599" s="31"/>
      <c r="L599" s="31"/>
      <c r="M599" s="31"/>
    </row>
    <row r="600" spans="8:13" ht="15.75" customHeight="1" x14ac:dyDescent="0.3">
      <c r="H600" s="31"/>
      <c r="I600" s="31"/>
      <c r="J600" s="31"/>
      <c r="K600" s="31"/>
      <c r="L600" s="31"/>
      <c r="M600" s="31"/>
    </row>
    <row r="601" spans="8:13" ht="15.75" customHeight="1" x14ac:dyDescent="0.3">
      <c r="H601" s="31"/>
      <c r="I601" s="31"/>
      <c r="J601" s="31"/>
      <c r="K601" s="31"/>
      <c r="L601" s="31"/>
      <c r="M601" s="31"/>
    </row>
    <row r="602" spans="8:13" ht="15.75" customHeight="1" x14ac:dyDescent="0.3">
      <c r="H602" s="31"/>
      <c r="I602" s="31"/>
      <c r="J602" s="31"/>
      <c r="K602" s="31"/>
      <c r="L602" s="31"/>
      <c r="M602" s="31"/>
    </row>
    <row r="603" spans="8:13" ht="15.75" customHeight="1" x14ac:dyDescent="0.3">
      <c r="H603" s="31"/>
      <c r="I603" s="31"/>
      <c r="J603" s="31"/>
      <c r="K603" s="31"/>
      <c r="L603" s="31"/>
      <c r="M603" s="31"/>
    </row>
    <row r="604" spans="8:13" ht="15.75" customHeight="1" x14ac:dyDescent="0.3">
      <c r="H604" s="31"/>
      <c r="I604" s="31"/>
      <c r="J604" s="31"/>
      <c r="K604" s="31"/>
      <c r="L604" s="31"/>
      <c r="M604" s="31"/>
    </row>
    <row r="605" spans="8:13" ht="15.75" customHeight="1" x14ac:dyDescent="0.3">
      <c r="H605" s="31"/>
      <c r="I605" s="31"/>
      <c r="J605" s="31"/>
      <c r="K605" s="31"/>
      <c r="L605" s="31"/>
      <c r="M605" s="31"/>
    </row>
    <row r="606" spans="8:13" ht="15.75" customHeight="1" x14ac:dyDescent="0.3">
      <c r="H606" s="31"/>
      <c r="I606" s="31"/>
      <c r="J606" s="31"/>
      <c r="K606" s="31"/>
      <c r="L606" s="31"/>
      <c r="M606" s="31"/>
    </row>
    <row r="607" spans="8:13" ht="15.75" customHeight="1" x14ac:dyDescent="0.3">
      <c r="H607" s="31"/>
      <c r="I607" s="31"/>
      <c r="J607" s="31"/>
      <c r="K607" s="31"/>
      <c r="L607" s="31"/>
      <c r="M607" s="31"/>
    </row>
    <row r="608" spans="8:13" ht="15.75" customHeight="1" x14ac:dyDescent="0.3">
      <c r="H608" s="31"/>
      <c r="I608" s="31"/>
      <c r="J608" s="31"/>
      <c r="K608" s="31"/>
      <c r="L608" s="31"/>
      <c r="M608" s="31"/>
    </row>
    <row r="609" spans="8:13" ht="15.75" customHeight="1" x14ac:dyDescent="0.3">
      <c r="H609" s="31"/>
      <c r="I609" s="31"/>
      <c r="J609" s="31"/>
      <c r="K609" s="31"/>
      <c r="L609" s="31"/>
      <c r="M609" s="31"/>
    </row>
    <row r="610" spans="8:13" ht="15.75" customHeight="1" x14ac:dyDescent="0.3">
      <c r="H610" s="31"/>
      <c r="I610" s="31"/>
      <c r="J610" s="31"/>
      <c r="K610" s="31"/>
      <c r="L610" s="31"/>
      <c r="M610" s="31"/>
    </row>
    <row r="611" spans="8:13" ht="15.75" customHeight="1" x14ac:dyDescent="0.3">
      <c r="H611" s="31"/>
      <c r="I611" s="31"/>
      <c r="J611" s="31"/>
      <c r="K611" s="31"/>
      <c r="L611" s="31"/>
      <c r="M611" s="31"/>
    </row>
    <row r="612" spans="8:13" ht="15.75" customHeight="1" x14ac:dyDescent="0.3">
      <c r="H612" s="31"/>
      <c r="I612" s="31"/>
      <c r="J612" s="31"/>
      <c r="K612" s="31"/>
      <c r="L612" s="31"/>
      <c r="M612" s="31"/>
    </row>
    <row r="613" spans="8:13" ht="15.75" customHeight="1" x14ac:dyDescent="0.3">
      <c r="H613" s="31"/>
      <c r="I613" s="31"/>
      <c r="J613" s="31"/>
      <c r="K613" s="31"/>
      <c r="L613" s="31"/>
      <c r="M613" s="31"/>
    </row>
    <row r="614" spans="8:13" ht="15.75" customHeight="1" x14ac:dyDescent="0.3">
      <c r="H614" s="31"/>
      <c r="I614" s="31"/>
      <c r="J614" s="31"/>
      <c r="K614" s="31"/>
      <c r="L614" s="31"/>
      <c r="M614" s="31"/>
    </row>
    <row r="615" spans="8:13" ht="15.75" customHeight="1" x14ac:dyDescent="0.3">
      <c r="H615" s="31"/>
      <c r="I615" s="31"/>
      <c r="J615" s="31"/>
      <c r="K615" s="31"/>
      <c r="L615" s="31"/>
      <c r="M615" s="31"/>
    </row>
    <row r="616" spans="8:13" ht="15.75" customHeight="1" x14ac:dyDescent="0.3">
      <c r="H616" s="31"/>
      <c r="I616" s="31"/>
      <c r="J616" s="31"/>
      <c r="K616" s="31"/>
      <c r="L616" s="31"/>
      <c r="M616" s="31"/>
    </row>
    <row r="617" spans="8:13" ht="15.75" customHeight="1" x14ac:dyDescent="0.3">
      <c r="H617" s="31"/>
      <c r="I617" s="31"/>
      <c r="J617" s="31"/>
      <c r="K617" s="31"/>
      <c r="L617" s="31"/>
      <c r="M617" s="31"/>
    </row>
    <row r="618" spans="8:13" ht="15.75" customHeight="1" x14ac:dyDescent="0.3">
      <c r="H618" s="31"/>
      <c r="I618" s="31"/>
      <c r="J618" s="31"/>
      <c r="K618" s="31"/>
      <c r="L618" s="31"/>
      <c r="M618" s="31"/>
    </row>
    <row r="619" spans="8:13" ht="15.75" customHeight="1" x14ac:dyDescent="0.3">
      <c r="H619" s="31"/>
      <c r="I619" s="31"/>
      <c r="J619" s="31"/>
      <c r="K619" s="31"/>
      <c r="L619" s="31"/>
      <c r="M619" s="31"/>
    </row>
    <row r="620" spans="8:13" ht="15.75" customHeight="1" x14ac:dyDescent="0.3">
      <c r="H620" s="31"/>
      <c r="I620" s="31"/>
      <c r="J620" s="31"/>
      <c r="K620" s="31"/>
      <c r="L620" s="31"/>
      <c r="M620" s="31"/>
    </row>
    <row r="621" spans="8:13" ht="15.75" customHeight="1" x14ac:dyDescent="0.3">
      <c r="H621" s="31"/>
      <c r="I621" s="31"/>
      <c r="J621" s="31"/>
      <c r="K621" s="31"/>
      <c r="L621" s="31"/>
      <c r="M621" s="31"/>
    </row>
    <row r="622" spans="8:13" ht="15.75" customHeight="1" x14ac:dyDescent="0.3">
      <c r="H622" s="31"/>
      <c r="I622" s="31"/>
      <c r="J622" s="31"/>
      <c r="K622" s="31"/>
      <c r="L622" s="31"/>
      <c r="M622" s="31"/>
    </row>
    <row r="623" spans="8:13" ht="15.75" customHeight="1" x14ac:dyDescent="0.3">
      <c r="H623" s="31"/>
      <c r="I623" s="31"/>
      <c r="J623" s="31"/>
      <c r="K623" s="31"/>
      <c r="L623" s="31"/>
      <c r="M623" s="31"/>
    </row>
    <row r="624" spans="8:13" ht="15.75" customHeight="1" x14ac:dyDescent="0.3">
      <c r="H624" s="31"/>
      <c r="I624" s="31"/>
      <c r="J624" s="31"/>
      <c r="K624" s="31"/>
      <c r="L624" s="31"/>
      <c r="M624" s="31"/>
    </row>
    <row r="625" spans="8:13" ht="15.75" customHeight="1" x14ac:dyDescent="0.3">
      <c r="H625" s="31"/>
      <c r="I625" s="31"/>
      <c r="J625" s="31"/>
      <c r="K625" s="31"/>
      <c r="L625" s="31"/>
      <c r="M625" s="31"/>
    </row>
    <row r="626" spans="8:13" ht="15.75" customHeight="1" x14ac:dyDescent="0.3">
      <c r="H626" s="31"/>
      <c r="I626" s="31"/>
      <c r="J626" s="31"/>
      <c r="K626" s="31"/>
      <c r="L626" s="31"/>
      <c r="M626" s="31"/>
    </row>
    <row r="627" spans="8:13" ht="15.75" customHeight="1" x14ac:dyDescent="0.3">
      <c r="H627" s="31"/>
      <c r="I627" s="31"/>
      <c r="J627" s="31"/>
      <c r="K627" s="31"/>
      <c r="L627" s="31"/>
      <c r="M627" s="31"/>
    </row>
    <row r="628" spans="8:13" ht="15.75" customHeight="1" x14ac:dyDescent="0.3">
      <c r="H628" s="31"/>
      <c r="I628" s="31"/>
      <c r="J628" s="31"/>
      <c r="K628" s="31"/>
      <c r="L628" s="31"/>
      <c r="M628" s="31"/>
    </row>
    <row r="629" spans="8:13" ht="15.75" customHeight="1" x14ac:dyDescent="0.3">
      <c r="H629" s="31"/>
      <c r="I629" s="31"/>
      <c r="J629" s="31"/>
      <c r="K629" s="31"/>
      <c r="L629" s="31"/>
      <c r="M629" s="31"/>
    </row>
    <row r="630" spans="8:13" ht="15.75" customHeight="1" x14ac:dyDescent="0.3">
      <c r="H630" s="31"/>
      <c r="I630" s="31"/>
      <c r="J630" s="31"/>
      <c r="K630" s="31"/>
      <c r="L630" s="31"/>
      <c r="M630" s="31"/>
    </row>
    <row r="631" spans="8:13" ht="15.75" customHeight="1" x14ac:dyDescent="0.3">
      <c r="H631" s="31"/>
      <c r="I631" s="31"/>
      <c r="J631" s="31"/>
      <c r="K631" s="31"/>
      <c r="L631" s="31"/>
      <c r="M631" s="31"/>
    </row>
    <row r="632" spans="8:13" ht="15.75" customHeight="1" x14ac:dyDescent="0.3">
      <c r="H632" s="31"/>
      <c r="I632" s="31"/>
      <c r="J632" s="31"/>
      <c r="K632" s="31"/>
      <c r="L632" s="31"/>
      <c r="M632" s="31"/>
    </row>
    <row r="633" spans="8:13" ht="15.75" customHeight="1" x14ac:dyDescent="0.3">
      <c r="H633" s="31"/>
      <c r="I633" s="31"/>
      <c r="J633" s="31"/>
      <c r="K633" s="31"/>
      <c r="L633" s="31"/>
      <c r="M633" s="31"/>
    </row>
    <row r="634" spans="8:13" ht="15.75" customHeight="1" x14ac:dyDescent="0.3">
      <c r="H634" s="31"/>
      <c r="I634" s="31"/>
      <c r="J634" s="31"/>
      <c r="K634" s="31"/>
      <c r="L634" s="31"/>
      <c r="M634" s="31"/>
    </row>
    <row r="635" spans="8:13" ht="15.75" customHeight="1" x14ac:dyDescent="0.3">
      <c r="H635" s="31"/>
      <c r="I635" s="31"/>
      <c r="J635" s="31"/>
      <c r="K635" s="31"/>
      <c r="L635" s="31"/>
      <c r="M635" s="31"/>
    </row>
    <row r="636" spans="8:13" ht="15.75" customHeight="1" x14ac:dyDescent="0.3">
      <c r="H636" s="31"/>
      <c r="I636" s="31"/>
      <c r="J636" s="31"/>
      <c r="K636" s="31"/>
      <c r="L636" s="31"/>
      <c r="M636" s="31"/>
    </row>
    <row r="637" spans="8:13" ht="15.75" customHeight="1" x14ac:dyDescent="0.3">
      <c r="H637" s="31"/>
      <c r="I637" s="31"/>
      <c r="J637" s="31"/>
      <c r="K637" s="31"/>
      <c r="L637" s="31"/>
      <c r="M637" s="31"/>
    </row>
    <row r="638" spans="8:13" ht="15.75" customHeight="1" x14ac:dyDescent="0.3">
      <c r="H638" s="31"/>
      <c r="I638" s="31"/>
      <c r="J638" s="31"/>
      <c r="K638" s="31"/>
      <c r="L638" s="31"/>
      <c r="M638" s="31"/>
    </row>
    <row r="639" spans="8:13" ht="15.75" customHeight="1" x14ac:dyDescent="0.3">
      <c r="H639" s="31"/>
      <c r="I639" s="31"/>
      <c r="J639" s="31"/>
      <c r="K639" s="31"/>
      <c r="L639" s="31"/>
      <c r="M639" s="31"/>
    </row>
    <row r="640" spans="8:13" ht="15.75" customHeight="1" x14ac:dyDescent="0.3">
      <c r="H640" s="31"/>
      <c r="I640" s="31"/>
      <c r="J640" s="31"/>
      <c r="K640" s="31"/>
      <c r="L640" s="31"/>
      <c r="M640" s="31"/>
    </row>
    <row r="641" spans="8:13" ht="15.75" customHeight="1" x14ac:dyDescent="0.3">
      <c r="H641" s="31"/>
      <c r="I641" s="31"/>
      <c r="J641" s="31"/>
      <c r="K641" s="31"/>
      <c r="L641" s="31"/>
      <c r="M641" s="31"/>
    </row>
    <row r="642" spans="8:13" ht="15.75" customHeight="1" x14ac:dyDescent="0.3">
      <c r="H642" s="31"/>
      <c r="I642" s="31"/>
      <c r="J642" s="31"/>
      <c r="K642" s="31"/>
      <c r="L642" s="31"/>
      <c r="M642" s="31"/>
    </row>
    <row r="643" spans="8:13" ht="15.75" customHeight="1" x14ac:dyDescent="0.3">
      <c r="H643" s="31"/>
      <c r="I643" s="31"/>
      <c r="J643" s="31"/>
      <c r="K643" s="31"/>
      <c r="L643" s="31"/>
      <c r="M643" s="31"/>
    </row>
    <row r="644" spans="8:13" ht="15.75" customHeight="1" x14ac:dyDescent="0.3">
      <c r="H644" s="31"/>
      <c r="I644" s="31"/>
      <c r="J644" s="31"/>
      <c r="K644" s="31"/>
      <c r="L644" s="31"/>
      <c r="M644" s="31"/>
    </row>
    <row r="645" spans="8:13" ht="15.75" customHeight="1" x14ac:dyDescent="0.3">
      <c r="H645" s="31"/>
      <c r="I645" s="31"/>
      <c r="J645" s="31"/>
      <c r="K645" s="31"/>
      <c r="L645" s="31"/>
      <c r="M645" s="31"/>
    </row>
    <row r="646" spans="8:13" ht="15.75" customHeight="1" x14ac:dyDescent="0.3">
      <c r="H646" s="31"/>
      <c r="I646" s="31"/>
      <c r="J646" s="31"/>
      <c r="K646" s="31"/>
      <c r="L646" s="31"/>
      <c r="M646" s="31"/>
    </row>
    <row r="647" spans="8:13" ht="15.75" customHeight="1" x14ac:dyDescent="0.3">
      <c r="H647" s="31"/>
      <c r="I647" s="31"/>
      <c r="J647" s="31"/>
      <c r="K647" s="31"/>
      <c r="L647" s="31"/>
      <c r="M647" s="31"/>
    </row>
    <row r="648" spans="8:13" ht="15.75" customHeight="1" x14ac:dyDescent="0.3">
      <c r="H648" s="31"/>
      <c r="I648" s="31"/>
      <c r="J648" s="31"/>
      <c r="K648" s="31"/>
      <c r="L648" s="31"/>
      <c r="M648" s="31"/>
    </row>
    <row r="649" spans="8:13" ht="15.75" customHeight="1" x14ac:dyDescent="0.3">
      <c r="H649" s="31"/>
      <c r="I649" s="31"/>
      <c r="J649" s="31"/>
      <c r="K649" s="31"/>
      <c r="L649" s="31"/>
      <c r="M649" s="31"/>
    </row>
    <row r="650" spans="8:13" ht="15.75" customHeight="1" x14ac:dyDescent="0.3">
      <c r="H650" s="31"/>
      <c r="I650" s="31"/>
      <c r="J650" s="31"/>
      <c r="K650" s="31"/>
      <c r="L650" s="31"/>
      <c r="M650" s="31"/>
    </row>
    <row r="651" spans="8:13" ht="15.75" customHeight="1" x14ac:dyDescent="0.3">
      <c r="H651" s="31"/>
      <c r="I651" s="31"/>
      <c r="J651" s="31"/>
      <c r="K651" s="31"/>
      <c r="L651" s="31"/>
      <c r="M651" s="31"/>
    </row>
    <row r="652" spans="8:13" ht="15.75" customHeight="1" x14ac:dyDescent="0.3">
      <c r="H652" s="31"/>
      <c r="I652" s="31"/>
      <c r="J652" s="31"/>
      <c r="K652" s="31"/>
      <c r="L652" s="31"/>
      <c r="M652" s="31"/>
    </row>
    <row r="653" spans="8:13" ht="15.75" customHeight="1" x14ac:dyDescent="0.3">
      <c r="H653" s="31"/>
      <c r="I653" s="31"/>
      <c r="J653" s="31"/>
      <c r="K653" s="31"/>
      <c r="L653" s="31"/>
      <c r="M653" s="31"/>
    </row>
    <row r="654" spans="8:13" ht="15.75" customHeight="1" x14ac:dyDescent="0.3">
      <c r="H654" s="31"/>
      <c r="I654" s="31"/>
      <c r="J654" s="31"/>
      <c r="K654" s="31"/>
      <c r="L654" s="31"/>
      <c r="M654" s="31"/>
    </row>
    <row r="655" spans="8:13" ht="15.75" customHeight="1" x14ac:dyDescent="0.3">
      <c r="H655" s="31"/>
      <c r="I655" s="31"/>
      <c r="J655" s="31"/>
      <c r="K655" s="31"/>
      <c r="L655" s="31"/>
      <c r="M655" s="31"/>
    </row>
    <row r="656" spans="8:13" ht="15.75" customHeight="1" x14ac:dyDescent="0.3">
      <c r="H656" s="31"/>
      <c r="I656" s="31"/>
      <c r="J656" s="31"/>
      <c r="K656" s="31"/>
      <c r="L656" s="31"/>
      <c r="M656" s="31"/>
    </row>
    <row r="657" spans="8:13" ht="15.75" customHeight="1" x14ac:dyDescent="0.3">
      <c r="H657" s="31"/>
      <c r="I657" s="31"/>
      <c r="J657" s="31"/>
      <c r="K657" s="31"/>
      <c r="L657" s="31"/>
      <c r="M657" s="31"/>
    </row>
    <row r="658" spans="8:13" ht="15.75" customHeight="1" x14ac:dyDescent="0.3">
      <c r="H658" s="31"/>
      <c r="I658" s="31"/>
      <c r="J658" s="31"/>
      <c r="K658" s="31"/>
      <c r="L658" s="31"/>
      <c r="M658" s="31"/>
    </row>
    <row r="659" spans="8:13" ht="15.75" customHeight="1" x14ac:dyDescent="0.3">
      <c r="H659" s="31"/>
      <c r="I659" s="31"/>
      <c r="J659" s="31"/>
      <c r="K659" s="31"/>
      <c r="L659" s="31"/>
      <c r="M659" s="31"/>
    </row>
    <row r="660" spans="8:13" ht="15.75" customHeight="1" x14ac:dyDescent="0.3">
      <c r="H660" s="31"/>
      <c r="I660" s="31"/>
      <c r="J660" s="31"/>
      <c r="K660" s="31"/>
      <c r="L660" s="31"/>
      <c r="M660" s="31"/>
    </row>
    <row r="661" spans="8:13" ht="15.75" customHeight="1" x14ac:dyDescent="0.3">
      <c r="H661" s="31"/>
      <c r="I661" s="31"/>
      <c r="J661" s="31"/>
      <c r="K661" s="31"/>
      <c r="L661" s="31"/>
      <c r="M661" s="31"/>
    </row>
    <row r="662" spans="8:13" ht="15.75" customHeight="1" x14ac:dyDescent="0.3">
      <c r="H662" s="31"/>
      <c r="I662" s="31"/>
      <c r="J662" s="31"/>
      <c r="K662" s="31"/>
      <c r="L662" s="31"/>
      <c r="M662" s="31"/>
    </row>
    <row r="663" spans="8:13" ht="15.75" customHeight="1" x14ac:dyDescent="0.3">
      <c r="H663" s="31"/>
      <c r="I663" s="31"/>
      <c r="J663" s="31"/>
      <c r="K663" s="31"/>
      <c r="L663" s="31"/>
      <c r="M663" s="31"/>
    </row>
    <row r="664" spans="8:13" ht="15.75" customHeight="1" x14ac:dyDescent="0.3">
      <c r="H664" s="31"/>
      <c r="I664" s="31"/>
      <c r="J664" s="31"/>
      <c r="K664" s="31"/>
      <c r="L664" s="31"/>
      <c r="M664" s="31"/>
    </row>
    <row r="665" spans="8:13" ht="15.75" customHeight="1" x14ac:dyDescent="0.3">
      <c r="H665" s="31"/>
      <c r="I665" s="31"/>
      <c r="J665" s="31"/>
      <c r="K665" s="31"/>
      <c r="L665" s="31"/>
      <c r="M665" s="31"/>
    </row>
    <row r="666" spans="8:13" ht="15.75" customHeight="1" x14ac:dyDescent="0.3">
      <c r="H666" s="31"/>
      <c r="I666" s="31"/>
      <c r="J666" s="31"/>
      <c r="K666" s="31"/>
      <c r="L666" s="31"/>
      <c r="M666" s="31"/>
    </row>
    <row r="667" spans="8:13" ht="15.75" customHeight="1" x14ac:dyDescent="0.3">
      <c r="H667" s="31"/>
      <c r="I667" s="31"/>
      <c r="J667" s="31"/>
      <c r="K667" s="31"/>
      <c r="L667" s="31"/>
      <c r="M667" s="31"/>
    </row>
    <row r="668" spans="8:13" ht="15.75" customHeight="1" x14ac:dyDescent="0.3">
      <c r="H668" s="31"/>
      <c r="I668" s="31"/>
      <c r="J668" s="31"/>
      <c r="K668" s="31"/>
      <c r="L668" s="31"/>
      <c r="M668" s="31"/>
    </row>
    <row r="669" spans="8:13" ht="15.75" customHeight="1" x14ac:dyDescent="0.3">
      <c r="H669" s="31"/>
      <c r="I669" s="31"/>
      <c r="J669" s="31"/>
      <c r="K669" s="31"/>
      <c r="L669" s="31"/>
      <c r="M669" s="31"/>
    </row>
    <row r="670" spans="8:13" ht="15.75" customHeight="1" x14ac:dyDescent="0.3">
      <c r="H670" s="31"/>
      <c r="I670" s="31"/>
      <c r="J670" s="31"/>
      <c r="K670" s="31"/>
      <c r="L670" s="31"/>
      <c r="M670" s="31"/>
    </row>
    <row r="671" spans="8:13" ht="15.75" customHeight="1" x14ac:dyDescent="0.3">
      <c r="H671" s="31"/>
      <c r="I671" s="31"/>
      <c r="J671" s="31"/>
      <c r="K671" s="31"/>
      <c r="L671" s="31"/>
      <c r="M671" s="31"/>
    </row>
    <row r="672" spans="8:13" ht="15.75" customHeight="1" x14ac:dyDescent="0.3">
      <c r="H672" s="31"/>
      <c r="I672" s="31"/>
      <c r="J672" s="31"/>
      <c r="K672" s="31"/>
      <c r="L672" s="31"/>
      <c r="M672" s="31"/>
    </row>
    <row r="673" spans="8:13" ht="15.75" customHeight="1" x14ac:dyDescent="0.3">
      <c r="H673" s="31"/>
      <c r="I673" s="31"/>
      <c r="J673" s="31"/>
      <c r="K673" s="31"/>
      <c r="L673" s="31"/>
      <c r="M673" s="31"/>
    </row>
    <row r="674" spans="8:13" ht="15.75" customHeight="1" x14ac:dyDescent="0.3">
      <c r="H674" s="31"/>
      <c r="I674" s="31"/>
      <c r="J674" s="31"/>
      <c r="K674" s="31"/>
      <c r="L674" s="31"/>
      <c r="M674" s="31"/>
    </row>
    <row r="675" spans="8:13" ht="15.75" customHeight="1" x14ac:dyDescent="0.3">
      <c r="H675" s="31"/>
      <c r="I675" s="31"/>
      <c r="J675" s="31"/>
      <c r="K675" s="31"/>
      <c r="L675" s="31"/>
      <c r="M675" s="31"/>
    </row>
    <row r="676" spans="8:13" ht="15.75" customHeight="1" x14ac:dyDescent="0.3">
      <c r="H676" s="31"/>
      <c r="I676" s="31"/>
      <c r="J676" s="31"/>
      <c r="K676" s="31"/>
      <c r="L676" s="31"/>
      <c r="M676" s="31"/>
    </row>
    <row r="677" spans="8:13" ht="15.75" customHeight="1" x14ac:dyDescent="0.3">
      <c r="H677" s="31"/>
      <c r="I677" s="31"/>
      <c r="J677" s="31"/>
      <c r="K677" s="31"/>
      <c r="L677" s="31"/>
      <c r="M677" s="31"/>
    </row>
    <row r="678" spans="8:13" ht="15.75" customHeight="1" x14ac:dyDescent="0.3">
      <c r="H678" s="31"/>
      <c r="I678" s="31"/>
      <c r="J678" s="31"/>
      <c r="K678" s="31"/>
      <c r="L678" s="31"/>
      <c r="M678" s="31"/>
    </row>
    <row r="679" spans="8:13" ht="15.75" customHeight="1" x14ac:dyDescent="0.3">
      <c r="H679" s="31"/>
      <c r="I679" s="31"/>
      <c r="J679" s="31"/>
      <c r="K679" s="31"/>
      <c r="L679" s="31"/>
      <c r="M679" s="31"/>
    </row>
    <row r="680" spans="8:13" ht="15.75" customHeight="1" x14ac:dyDescent="0.3">
      <c r="H680" s="31"/>
      <c r="I680" s="31"/>
      <c r="J680" s="31"/>
      <c r="K680" s="31"/>
      <c r="L680" s="31"/>
      <c r="M680" s="31"/>
    </row>
    <row r="681" spans="8:13" ht="15.75" customHeight="1" x14ac:dyDescent="0.3">
      <c r="H681" s="31"/>
      <c r="I681" s="31"/>
      <c r="J681" s="31"/>
      <c r="K681" s="31"/>
      <c r="L681" s="31"/>
      <c r="M681" s="31"/>
    </row>
    <row r="682" spans="8:13" ht="15.75" customHeight="1" x14ac:dyDescent="0.3">
      <c r="H682" s="31"/>
      <c r="I682" s="31"/>
      <c r="J682" s="31"/>
      <c r="K682" s="31"/>
      <c r="L682" s="31"/>
      <c r="M682" s="31"/>
    </row>
    <row r="683" spans="8:13" ht="15.75" customHeight="1" x14ac:dyDescent="0.3">
      <c r="H683" s="31"/>
      <c r="I683" s="31"/>
      <c r="J683" s="31"/>
      <c r="K683" s="31"/>
      <c r="L683" s="31"/>
      <c r="M683" s="31"/>
    </row>
    <row r="684" spans="8:13" ht="15.75" customHeight="1" x14ac:dyDescent="0.3">
      <c r="H684" s="31"/>
      <c r="I684" s="31"/>
      <c r="J684" s="31"/>
      <c r="K684" s="31"/>
      <c r="L684" s="31"/>
      <c r="M684" s="31"/>
    </row>
    <row r="685" spans="8:13" ht="15.75" customHeight="1" x14ac:dyDescent="0.3">
      <c r="H685" s="31"/>
      <c r="I685" s="31"/>
      <c r="J685" s="31"/>
      <c r="K685" s="31"/>
      <c r="L685" s="31"/>
      <c r="M685" s="31"/>
    </row>
    <row r="686" spans="8:13" ht="15.75" customHeight="1" x14ac:dyDescent="0.3">
      <c r="H686" s="31"/>
      <c r="I686" s="31"/>
      <c r="J686" s="31"/>
      <c r="K686" s="31"/>
      <c r="L686" s="31"/>
      <c r="M686" s="31"/>
    </row>
    <row r="687" spans="8:13" ht="15.75" customHeight="1" x14ac:dyDescent="0.3">
      <c r="H687" s="31"/>
      <c r="I687" s="31"/>
      <c r="J687" s="31"/>
      <c r="K687" s="31"/>
      <c r="L687" s="31"/>
      <c r="M687" s="31"/>
    </row>
    <row r="688" spans="8:13" ht="15.75" customHeight="1" x14ac:dyDescent="0.3">
      <c r="H688" s="31"/>
      <c r="I688" s="31"/>
      <c r="J688" s="31"/>
      <c r="K688" s="31"/>
      <c r="L688" s="31"/>
      <c r="M688" s="31"/>
    </row>
    <row r="689" spans="8:13" ht="15.75" customHeight="1" x14ac:dyDescent="0.3">
      <c r="H689" s="31"/>
      <c r="I689" s="31"/>
      <c r="J689" s="31"/>
      <c r="K689" s="31"/>
      <c r="L689" s="31"/>
      <c r="M689" s="31"/>
    </row>
    <row r="690" spans="8:13" ht="15.75" customHeight="1" x14ac:dyDescent="0.3">
      <c r="H690" s="31"/>
      <c r="I690" s="31"/>
      <c r="J690" s="31"/>
      <c r="K690" s="31"/>
      <c r="L690" s="31"/>
      <c r="M690" s="31"/>
    </row>
    <row r="691" spans="8:13" ht="15.75" customHeight="1" x14ac:dyDescent="0.3">
      <c r="H691" s="31"/>
      <c r="I691" s="31"/>
      <c r="J691" s="31"/>
      <c r="K691" s="31"/>
      <c r="L691" s="31"/>
      <c r="M691" s="31"/>
    </row>
    <row r="692" spans="8:13" ht="15.75" customHeight="1" x14ac:dyDescent="0.3">
      <c r="H692" s="31"/>
      <c r="I692" s="31"/>
      <c r="J692" s="31"/>
      <c r="K692" s="31"/>
      <c r="L692" s="31"/>
      <c r="M692" s="31"/>
    </row>
    <row r="693" spans="8:13" ht="15.75" customHeight="1" x14ac:dyDescent="0.3">
      <c r="H693" s="31"/>
      <c r="I693" s="31"/>
      <c r="J693" s="31"/>
      <c r="K693" s="31"/>
      <c r="L693" s="31"/>
      <c r="M693" s="31"/>
    </row>
    <row r="694" spans="8:13" ht="15.75" customHeight="1" x14ac:dyDescent="0.3">
      <c r="H694" s="31"/>
      <c r="I694" s="31"/>
      <c r="J694" s="31"/>
      <c r="K694" s="31"/>
      <c r="L694" s="31"/>
      <c r="M694" s="31"/>
    </row>
    <row r="695" spans="8:13" ht="15.75" customHeight="1" x14ac:dyDescent="0.3">
      <c r="H695" s="31"/>
      <c r="I695" s="31"/>
      <c r="J695" s="31"/>
      <c r="K695" s="31"/>
      <c r="L695" s="31"/>
      <c r="M695" s="31"/>
    </row>
    <row r="696" spans="8:13" ht="15.75" customHeight="1" x14ac:dyDescent="0.3">
      <c r="H696" s="31"/>
      <c r="I696" s="31"/>
      <c r="J696" s="31"/>
      <c r="K696" s="31"/>
      <c r="L696" s="31"/>
      <c r="M696" s="31"/>
    </row>
    <row r="697" spans="8:13" ht="15.75" customHeight="1" x14ac:dyDescent="0.3">
      <c r="H697" s="31"/>
      <c r="I697" s="31"/>
      <c r="J697" s="31"/>
      <c r="K697" s="31"/>
      <c r="L697" s="31"/>
      <c r="M697" s="31"/>
    </row>
    <row r="698" spans="8:13" ht="15.75" customHeight="1" x14ac:dyDescent="0.3">
      <c r="H698" s="31"/>
      <c r="I698" s="31"/>
      <c r="J698" s="31"/>
      <c r="K698" s="31"/>
      <c r="L698" s="31"/>
      <c r="M698" s="31"/>
    </row>
    <row r="699" spans="8:13" ht="15.75" customHeight="1" x14ac:dyDescent="0.3">
      <c r="H699" s="31"/>
      <c r="I699" s="31"/>
      <c r="J699" s="31"/>
      <c r="K699" s="31"/>
      <c r="L699" s="31"/>
      <c r="M699" s="31"/>
    </row>
    <row r="700" spans="8:13" ht="15.75" customHeight="1" x14ac:dyDescent="0.3">
      <c r="H700" s="31"/>
      <c r="I700" s="31"/>
      <c r="J700" s="31"/>
      <c r="K700" s="31"/>
      <c r="L700" s="31"/>
      <c r="M700" s="31"/>
    </row>
    <row r="701" spans="8:13" ht="15.75" customHeight="1" x14ac:dyDescent="0.3">
      <c r="H701" s="31"/>
      <c r="I701" s="31"/>
      <c r="J701" s="31"/>
      <c r="K701" s="31"/>
      <c r="L701" s="31"/>
      <c r="M701" s="31"/>
    </row>
    <row r="702" spans="8:13" ht="15.75" customHeight="1" x14ac:dyDescent="0.3">
      <c r="H702" s="31"/>
      <c r="I702" s="31"/>
      <c r="J702" s="31"/>
      <c r="K702" s="31"/>
      <c r="L702" s="31"/>
      <c r="M702" s="31"/>
    </row>
    <row r="703" spans="8:13" ht="15.75" customHeight="1" x14ac:dyDescent="0.3">
      <c r="H703" s="31"/>
      <c r="I703" s="31"/>
      <c r="J703" s="31"/>
      <c r="K703" s="31"/>
      <c r="L703" s="31"/>
      <c r="M703" s="31"/>
    </row>
    <row r="704" spans="8:13" ht="15.75" customHeight="1" x14ac:dyDescent="0.3">
      <c r="H704" s="31"/>
      <c r="I704" s="31"/>
      <c r="J704" s="31"/>
      <c r="K704" s="31"/>
      <c r="L704" s="31"/>
      <c r="M704" s="31"/>
    </row>
    <row r="705" spans="8:13" ht="15.75" customHeight="1" x14ac:dyDescent="0.3">
      <c r="H705" s="31"/>
      <c r="I705" s="31"/>
      <c r="J705" s="31"/>
      <c r="K705" s="31"/>
      <c r="L705" s="31"/>
      <c r="M705" s="31"/>
    </row>
    <row r="706" spans="8:13" ht="15.75" customHeight="1" x14ac:dyDescent="0.3">
      <c r="H706" s="31"/>
      <c r="I706" s="31"/>
      <c r="J706" s="31"/>
      <c r="K706" s="31"/>
      <c r="L706" s="31"/>
      <c r="M706" s="31"/>
    </row>
    <row r="707" spans="8:13" ht="15.75" customHeight="1" x14ac:dyDescent="0.3">
      <c r="H707" s="31"/>
      <c r="I707" s="31"/>
      <c r="J707" s="31"/>
      <c r="K707" s="31"/>
      <c r="L707" s="31"/>
      <c r="M707" s="31"/>
    </row>
    <row r="708" spans="8:13" ht="15.75" customHeight="1" x14ac:dyDescent="0.3">
      <c r="H708" s="31"/>
      <c r="I708" s="31"/>
      <c r="J708" s="31"/>
      <c r="K708" s="31"/>
      <c r="L708" s="31"/>
      <c r="M708" s="31"/>
    </row>
    <row r="709" spans="8:13" ht="15.75" customHeight="1" x14ac:dyDescent="0.3">
      <c r="H709" s="31"/>
      <c r="I709" s="31"/>
      <c r="J709" s="31"/>
      <c r="K709" s="31"/>
      <c r="L709" s="31"/>
      <c r="M709" s="31"/>
    </row>
    <row r="710" spans="8:13" ht="15.75" customHeight="1" x14ac:dyDescent="0.3">
      <c r="H710" s="31"/>
      <c r="I710" s="31"/>
      <c r="J710" s="31"/>
      <c r="K710" s="31"/>
      <c r="L710" s="31"/>
      <c r="M710" s="31"/>
    </row>
    <row r="711" spans="8:13" ht="15.75" customHeight="1" x14ac:dyDescent="0.3">
      <c r="H711" s="31"/>
      <c r="I711" s="31"/>
      <c r="J711" s="31"/>
      <c r="K711" s="31"/>
      <c r="L711" s="31"/>
      <c r="M711" s="31"/>
    </row>
    <row r="712" spans="8:13" ht="15.75" customHeight="1" x14ac:dyDescent="0.3">
      <c r="H712" s="31"/>
      <c r="I712" s="31"/>
      <c r="J712" s="31"/>
      <c r="K712" s="31"/>
      <c r="L712" s="31"/>
      <c r="M712" s="31"/>
    </row>
    <row r="713" spans="8:13" ht="15.75" customHeight="1" x14ac:dyDescent="0.3">
      <c r="H713" s="31"/>
      <c r="I713" s="31"/>
      <c r="J713" s="31"/>
      <c r="K713" s="31"/>
      <c r="L713" s="31"/>
      <c r="M713" s="31"/>
    </row>
    <row r="714" spans="8:13" ht="15.75" customHeight="1" x14ac:dyDescent="0.3">
      <c r="H714" s="31"/>
      <c r="I714" s="31"/>
      <c r="J714" s="31"/>
      <c r="K714" s="31"/>
      <c r="L714" s="31"/>
      <c r="M714" s="31"/>
    </row>
    <row r="715" spans="8:13" ht="15.75" customHeight="1" x14ac:dyDescent="0.3">
      <c r="H715" s="31"/>
      <c r="I715" s="31"/>
      <c r="J715" s="31"/>
      <c r="K715" s="31"/>
      <c r="L715" s="31"/>
      <c r="M715" s="31"/>
    </row>
    <row r="716" spans="8:13" ht="15.75" customHeight="1" x14ac:dyDescent="0.3">
      <c r="H716" s="31"/>
      <c r="I716" s="31"/>
      <c r="J716" s="31"/>
      <c r="K716" s="31"/>
      <c r="L716" s="31"/>
      <c r="M716" s="31"/>
    </row>
    <row r="717" spans="8:13" ht="15.75" customHeight="1" x14ac:dyDescent="0.3">
      <c r="H717" s="31"/>
      <c r="I717" s="31"/>
      <c r="J717" s="31"/>
      <c r="K717" s="31"/>
      <c r="L717" s="31"/>
      <c r="M717" s="31"/>
    </row>
    <row r="718" spans="8:13" ht="15.75" customHeight="1" x14ac:dyDescent="0.3">
      <c r="H718" s="31"/>
      <c r="I718" s="31"/>
      <c r="J718" s="31"/>
      <c r="K718" s="31"/>
      <c r="L718" s="31"/>
      <c r="M718" s="31"/>
    </row>
    <row r="719" spans="8:13" ht="15.75" customHeight="1" x14ac:dyDescent="0.3">
      <c r="H719" s="31"/>
      <c r="I719" s="31"/>
      <c r="J719" s="31"/>
      <c r="K719" s="31"/>
      <c r="L719" s="31"/>
      <c r="M719" s="31"/>
    </row>
    <row r="720" spans="8:13" ht="15.75" customHeight="1" x14ac:dyDescent="0.3">
      <c r="H720" s="31"/>
      <c r="I720" s="31"/>
      <c r="J720" s="31"/>
      <c r="K720" s="31"/>
      <c r="L720" s="31"/>
      <c r="M720" s="31"/>
    </row>
    <row r="721" spans="8:13" ht="15.75" customHeight="1" x14ac:dyDescent="0.3">
      <c r="H721" s="31"/>
      <c r="I721" s="31"/>
      <c r="J721" s="31"/>
      <c r="K721" s="31"/>
      <c r="L721" s="31"/>
      <c r="M721" s="31"/>
    </row>
    <row r="722" spans="8:13" ht="15.75" customHeight="1" x14ac:dyDescent="0.3">
      <c r="H722" s="31"/>
      <c r="I722" s="31"/>
      <c r="J722" s="31"/>
      <c r="K722" s="31"/>
      <c r="L722" s="31"/>
      <c r="M722" s="31"/>
    </row>
    <row r="723" spans="8:13" ht="15.75" customHeight="1" x14ac:dyDescent="0.3">
      <c r="H723" s="31"/>
      <c r="I723" s="31"/>
      <c r="J723" s="31"/>
      <c r="K723" s="31"/>
      <c r="L723" s="31"/>
      <c r="M723" s="31"/>
    </row>
    <row r="724" spans="8:13" ht="15.75" customHeight="1" x14ac:dyDescent="0.3">
      <c r="H724" s="31"/>
      <c r="I724" s="31"/>
      <c r="J724" s="31"/>
      <c r="K724" s="31"/>
      <c r="L724" s="31"/>
      <c r="M724" s="31"/>
    </row>
    <row r="725" spans="8:13" ht="15.75" customHeight="1" x14ac:dyDescent="0.3">
      <c r="H725" s="31"/>
      <c r="I725" s="31"/>
      <c r="J725" s="31"/>
      <c r="K725" s="31"/>
      <c r="L725" s="31"/>
      <c r="M725" s="31"/>
    </row>
    <row r="726" spans="8:13" ht="15.75" customHeight="1" x14ac:dyDescent="0.3">
      <c r="H726" s="31"/>
      <c r="I726" s="31"/>
      <c r="J726" s="31"/>
      <c r="K726" s="31"/>
      <c r="L726" s="31"/>
      <c r="M726" s="31"/>
    </row>
    <row r="727" spans="8:13" ht="15.75" customHeight="1" x14ac:dyDescent="0.3">
      <c r="H727" s="31"/>
      <c r="I727" s="31"/>
      <c r="J727" s="31"/>
      <c r="K727" s="31"/>
      <c r="L727" s="31"/>
      <c r="M727" s="31"/>
    </row>
    <row r="728" spans="8:13" ht="15.75" customHeight="1" x14ac:dyDescent="0.3">
      <c r="H728" s="31"/>
      <c r="I728" s="31"/>
      <c r="J728" s="31"/>
      <c r="K728" s="31"/>
      <c r="L728" s="31"/>
      <c r="M728" s="31"/>
    </row>
    <row r="729" spans="8:13" ht="15.75" customHeight="1" x14ac:dyDescent="0.3">
      <c r="H729" s="31"/>
      <c r="I729" s="31"/>
      <c r="J729" s="31"/>
      <c r="K729" s="31"/>
      <c r="L729" s="31"/>
      <c r="M729" s="31"/>
    </row>
    <row r="730" spans="8:13" ht="15.75" customHeight="1" x14ac:dyDescent="0.3">
      <c r="H730" s="31"/>
      <c r="I730" s="31"/>
      <c r="J730" s="31"/>
      <c r="K730" s="31"/>
      <c r="L730" s="31"/>
      <c r="M730" s="31"/>
    </row>
    <row r="731" spans="8:13" ht="15.75" customHeight="1" x14ac:dyDescent="0.3">
      <c r="H731" s="31"/>
      <c r="I731" s="31"/>
      <c r="J731" s="31"/>
      <c r="K731" s="31"/>
      <c r="L731" s="31"/>
      <c r="M731" s="31"/>
    </row>
    <row r="732" spans="8:13" ht="15.75" customHeight="1" x14ac:dyDescent="0.3">
      <c r="H732" s="31"/>
      <c r="I732" s="31"/>
      <c r="J732" s="31"/>
      <c r="K732" s="31"/>
      <c r="L732" s="31"/>
      <c r="M732" s="31"/>
    </row>
    <row r="733" spans="8:13" ht="15.75" customHeight="1" x14ac:dyDescent="0.3">
      <c r="H733" s="31"/>
      <c r="I733" s="31"/>
      <c r="J733" s="31"/>
      <c r="K733" s="31"/>
      <c r="L733" s="31"/>
      <c r="M733" s="31"/>
    </row>
    <row r="734" spans="8:13" ht="15.75" customHeight="1" x14ac:dyDescent="0.3">
      <c r="H734" s="31"/>
      <c r="I734" s="31"/>
      <c r="J734" s="31"/>
      <c r="K734" s="31"/>
      <c r="L734" s="31"/>
      <c r="M734" s="31"/>
    </row>
    <row r="735" spans="8:13" ht="15.75" customHeight="1" x14ac:dyDescent="0.3">
      <c r="H735" s="31"/>
      <c r="I735" s="31"/>
      <c r="J735" s="31"/>
      <c r="K735" s="31"/>
      <c r="L735" s="31"/>
      <c r="M735" s="31"/>
    </row>
    <row r="736" spans="8:13" ht="15.75" customHeight="1" x14ac:dyDescent="0.3">
      <c r="H736" s="31"/>
      <c r="I736" s="31"/>
      <c r="J736" s="31"/>
      <c r="K736" s="31"/>
      <c r="L736" s="31"/>
      <c r="M736" s="31"/>
    </row>
    <row r="737" spans="8:13" ht="15.75" customHeight="1" x14ac:dyDescent="0.3">
      <c r="H737" s="31"/>
      <c r="I737" s="31"/>
      <c r="J737" s="31"/>
      <c r="K737" s="31"/>
      <c r="L737" s="31"/>
      <c r="M737" s="31"/>
    </row>
    <row r="738" spans="8:13" ht="15.75" customHeight="1" x14ac:dyDescent="0.3">
      <c r="H738" s="31"/>
      <c r="I738" s="31"/>
      <c r="J738" s="31"/>
      <c r="K738" s="31"/>
      <c r="L738" s="31"/>
      <c r="M738" s="31"/>
    </row>
    <row r="739" spans="8:13" ht="15.75" customHeight="1" x14ac:dyDescent="0.3">
      <c r="H739" s="31"/>
      <c r="I739" s="31"/>
      <c r="J739" s="31"/>
      <c r="K739" s="31"/>
      <c r="L739" s="31"/>
      <c r="M739" s="31"/>
    </row>
    <row r="740" spans="8:13" ht="15.75" customHeight="1" x14ac:dyDescent="0.3">
      <c r="H740" s="31"/>
      <c r="I740" s="31"/>
      <c r="J740" s="31"/>
      <c r="K740" s="31"/>
      <c r="L740" s="31"/>
      <c r="M740" s="31"/>
    </row>
    <row r="741" spans="8:13" ht="15.75" customHeight="1" x14ac:dyDescent="0.3">
      <c r="H741" s="31"/>
      <c r="I741" s="31"/>
      <c r="J741" s="31"/>
      <c r="K741" s="31"/>
      <c r="L741" s="31"/>
      <c r="M741" s="31"/>
    </row>
    <row r="742" spans="8:13" ht="15.75" customHeight="1" x14ac:dyDescent="0.3">
      <c r="H742" s="31"/>
      <c r="I742" s="31"/>
      <c r="J742" s="31"/>
      <c r="K742" s="31"/>
      <c r="L742" s="31"/>
      <c r="M742" s="31"/>
    </row>
    <row r="743" spans="8:13" ht="15.75" customHeight="1" x14ac:dyDescent="0.3">
      <c r="H743" s="31"/>
      <c r="I743" s="31"/>
      <c r="J743" s="31"/>
      <c r="K743" s="31"/>
      <c r="L743" s="31"/>
      <c r="M743" s="31"/>
    </row>
    <row r="744" spans="8:13" ht="15.75" customHeight="1" x14ac:dyDescent="0.3">
      <c r="H744" s="31"/>
      <c r="I744" s="31"/>
      <c r="J744" s="31"/>
      <c r="K744" s="31"/>
      <c r="L744" s="31"/>
      <c r="M744" s="31"/>
    </row>
    <row r="745" spans="8:13" ht="15.75" customHeight="1" x14ac:dyDescent="0.3">
      <c r="H745" s="31"/>
      <c r="I745" s="31"/>
      <c r="J745" s="31"/>
      <c r="K745" s="31"/>
      <c r="L745" s="31"/>
      <c r="M745" s="31"/>
    </row>
    <row r="746" spans="8:13" ht="15.75" customHeight="1" x14ac:dyDescent="0.3">
      <c r="H746" s="31"/>
      <c r="I746" s="31"/>
      <c r="J746" s="31"/>
      <c r="K746" s="31"/>
      <c r="L746" s="31"/>
      <c r="M746" s="31"/>
    </row>
    <row r="747" spans="8:13" ht="15.75" customHeight="1" x14ac:dyDescent="0.3">
      <c r="H747" s="31"/>
      <c r="I747" s="31"/>
      <c r="J747" s="31"/>
      <c r="K747" s="31"/>
      <c r="L747" s="31"/>
      <c r="M747" s="31"/>
    </row>
    <row r="748" spans="8:13" ht="15.75" customHeight="1" x14ac:dyDescent="0.3">
      <c r="H748" s="31"/>
      <c r="I748" s="31"/>
      <c r="J748" s="31"/>
      <c r="K748" s="31"/>
      <c r="L748" s="31"/>
      <c r="M748" s="31"/>
    </row>
    <row r="749" spans="8:13" ht="15.75" customHeight="1" x14ac:dyDescent="0.3">
      <c r="H749" s="31"/>
      <c r="I749" s="31"/>
      <c r="J749" s="31"/>
      <c r="K749" s="31"/>
      <c r="L749" s="31"/>
      <c r="M749" s="31"/>
    </row>
    <row r="750" spans="8:13" ht="15.75" customHeight="1" x14ac:dyDescent="0.3">
      <c r="H750" s="31"/>
      <c r="I750" s="31"/>
      <c r="J750" s="31"/>
      <c r="K750" s="31"/>
      <c r="L750" s="31"/>
      <c r="M750" s="31"/>
    </row>
    <row r="751" spans="8:13" ht="15.75" customHeight="1" x14ac:dyDescent="0.3">
      <c r="H751" s="31"/>
      <c r="I751" s="31"/>
      <c r="J751" s="31"/>
      <c r="K751" s="31"/>
      <c r="L751" s="31"/>
      <c r="M751" s="31"/>
    </row>
    <row r="752" spans="8:13" ht="15.75" customHeight="1" x14ac:dyDescent="0.3">
      <c r="H752" s="31"/>
      <c r="I752" s="31"/>
      <c r="J752" s="31"/>
      <c r="K752" s="31"/>
      <c r="L752" s="31"/>
      <c r="M752" s="31"/>
    </row>
    <row r="753" spans="8:13" ht="15.75" customHeight="1" x14ac:dyDescent="0.3">
      <c r="H753" s="31"/>
      <c r="I753" s="31"/>
      <c r="J753" s="31"/>
      <c r="K753" s="31"/>
      <c r="L753" s="31"/>
      <c r="M753" s="31"/>
    </row>
    <row r="754" spans="8:13" ht="15.75" customHeight="1" x14ac:dyDescent="0.3">
      <c r="H754" s="31"/>
      <c r="I754" s="31"/>
      <c r="J754" s="31"/>
      <c r="K754" s="31"/>
      <c r="L754" s="31"/>
      <c r="M754" s="31"/>
    </row>
    <row r="755" spans="8:13" ht="15.75" customHeight="1" x14ac:dyDescent="0.3">
      <c r="H755" s="31"/>
      <c r="I755" s="31"/>
      <c r="J755" s="31"/>
      <c r="K755" s="31"/>
      <c r="L755" s="31"/>
      <c r="M755" s="31"/>
    </row>
    <row r="756" spans="8:13" ht="15.75" customHeight="1" x14ac:dyDescent="0.3">
      <c r="H756" s="31"/>
      <c r="I756" s="31"/>
      <c r="J756" s="31"/>
      <c r="K756" s="31"/>
      <c r="L756" s="31"/>
      <c r="M756" s="31"/>
    </row>
    <row r="757" spans="8:13" ht="15.75" customHeight="1" x14ac:dyDescent="0.3">
      <c r="H757" s="31"/>
      <c r="I757" s="31"/>
      <c r="J757" s="31"/>
      <c r="K757" s="31"/>
      <c r="L757" s="31"/>
      <c r="M757" s="31"/>
    </row>
    <row r="758" spans="8:13" ht="15.75" customHeight="1" x14ac:dyDescent="0.3">
      <c r="H758" s="31"/>
      <c r="I758" s="31"/>
      <c r="J758" s="31"/>
      <c r="K758" s="31"/>
      <c r="L758" s="31"/>
      <c r="M758" s="31"/>
    </row>
    <row r="759" spans="8:13" ht="15.75" customHeight="1" x14ac:dyDescent="0.3">
      <c r="H759" s="31"/>
      <c r="I759" s="31"/>
      <c r="J759" s="31"/>
      <c r="K759" s="31"/>
      <c r="L759" s="31"/>
      <c r="M759" s="31"/>
    </row>
    <row r="760" spans="8:13" ht="15.75" customHeight="1" x14ac:dyDescent="0.3">
      <c r="H760" s="31"/>
      <c r="I760" s="31"/>
      <c r="J760" s="31"/>
      <c r="K760" s="31"/>
      <c r="L760" s="31"/>
      <c r="M760" s="31"/>
    </row>
    <row r="761" spans="8:13" ht="15.75" customHeight="1" x14ac:dyDescent="0.3">
      <c r="H761" s="31"/>
      <c r="I761" s="31"/>
      <c r="J761" s="31"/>
      <c r="K761" s="31"/>
      <c r="L761" s="31"/>
      <c r="M761" s="31"/>
    </row>
    <row r="762" spans="8:13" ht="15.75" customHeight="1" x14ac:dyDescent="0.3">
      <c r="H762" s="31"/>
      <c r="I762" s="31"/>
      <c r="J762" s="31"/>
      <c r="K762" s="31"/>
      <c r="L762" s="31"/>
      <c r="M762" s="31"/>
    </row>
    <row r="763" spans="8:13" ht="15.75" customHeight="1" x14ac:dyDescent="0.3">
      <c r="H763" s="31"/>
      <c r="I763" s="31"/>
      <c r="J763" s="31"/>
      <c r="K763" s="31"/>
      <c r="L763" s="31"/>
      <c r="M763" s="31"/>
    </row>
    <row r="764" spans="8:13" ht="15.75" customHeight="1" x14ac:dyDescent="0.3">
      <c r="H764" s="31"/>
      <c r="I764" s="31"/>
      <c r="J764" s="31"/>
      <c r="K764" s="31"/>
      <c r="L764" s="31"/>
      <c r="M764" s="31"/>
    </row>
    <row r="765" spans="8:13" ht="15.75" customHeight="1" x14ac:dyDescent="0.3">
      <c r="H765" s="31"/>
      <c r="I765" s="31"/>
      <c r="J765" s="31"/>
      <c r="K765" s="31"/>
      <c r="L765" s="31"/>
      <c r="M765" s="31"/>
    </row>
    <row r="766" spans="8:13" ht="15.75" customHeight="1" x14ac:dyDescent="0.3">
      <c r="H766" s="31"/>
      <c r="I766" s="31"/>
      <c r="J766" s="31"/>
      <c r="K766" s="31"/>
      <c r="L766" s="31"/>
      <c r="M766" s="31"/>
    </row>
    <row r="767" spans="8:13" ht="15.75" customHeight="1" x14ac:dyDescent="0.3">
      <c r="H767" s="31"/>
      <c r="I767" s="31"/>
      <c r="J767" s="31"/>
      <c r="K767" s="31"/>
      <c r="L767" s="31"/>
      <c r="M767" s="31"/>
    </row>
    <row r="768" spans="8:13" ht="15.75" customHeight="1" x14ac:dyDescent="0.3">
      <c r="H768" s="31"/>
      <c r="I768" s="31"/>
      <c r="J768" s="31"/>
      <c r="K768" s="31"/>
      <c r="L768" s="31"/>
      <c r="M768" s="31"/>
    </row>
    <row r="769" spans="8:13" ht="15.75" customHeight="1" x14ac:dyDescent="0.3">
      <c r="H769" s="31"/>
      <c r="I769" s="31"/>
      <c r="J769" s="31"/>
      <c r="K769" s="31"/>
      <c r="L769" s="31"/>
      <c r="M769" s="31"/>
    </row>
    <row r="770" spans="8:13" ht="15.75" customHeight="1" x14ac:dyDescent="0.3">
      <c r="H770" s="31"/>
      <c r="I770" s="31"/>
      <c r="J770" s="31"/>
      <c r="K770" s="31"/>
      <c r="L770" s="31"/>
      <c r="M770" s="31"/>
    </row>
    <row r="771" spans="8:13" ht="15.75" customHeight="1" x14ac:dyDescent="0.3">
      <c r="H771" s="31"/>
      <c r="I771" s="31"/>
      <c r="J771" s="31"/>
      <c r="K771" s="31"/>
      <c r="L771" s="31"/>
      <c r="M771" s="31"/>
    </row>
    <row r="772" spans="8:13" ht="15.75" customHeight="1" x14ac:dyDescent="0.3">
      <c r="H772" s="31"/>
      <c r="I772" s="31"/>
      <c r="J772" s="31"/>
      <c r="K772" s="31"/>
      <c r="L772" s="31"/>
      <c r="M772" s="31"/>
    </row>
    <row r="773" spans="8:13" ht="15.75" customHeight="1" x14ac:dyDescent="0.3">
      <c r="H773" s="31"/>
      <c r="I773" s="31"/>
      <c r="J773" s="31"/>
      <c r="K773" s="31"/>
      <c r="L773" s="31"/>
      <c r="M773" s="31"/>
    </row>
    <row r="774" spans="8:13" ht="15.75" customHeight="1" x14ac:dyDescent="0.3">
      <c r="H774" s="31"/>
      <c r="I774" s="31"/>
      <c r="J774" s="31"/>
      <c r="K774" s="31"/>
      <c r="L774" s="31"/>
      <c r="M774" s="31"/>
    </row>
    <row r="775" spans="8:13" ht="15.75" customHeight="1" x14ac:dyDescent="0.3">
      <c r="H775" s="31"/>
      <c r="I775" s="31"/>
      <c r="J775" s="31"/>
      <c r="K775" s="31"/>
      <c r="L775" s="31"/>
      <c r="M775" s="31"/>
    </row>
    <row r="776" spans="8:13" ht="15.75" customHeight="1" x14ac:dyDescent="0.3">
      <c r="H776" s="31"/>
      <c r="I776" s="31"/>
      <c r="J776" s="31"/>
      <c r="K776" s="31"/>
      <c r="L776" s="31"/>
      <c r="M776" s="31"/>
    </row>
    <row r="777" spans="8:13" ht="15.75" customHeight="1" x14ac:dyDescent="0.3">
      <c r="H777" s="31"/>
      <c r="I777" s="31"/>
      <c r="J777" s="31"/>
      <c r="K777" s="31"/>
      <c r="L777" s="31"/>
      <c r="M777" s="31"/>
    </row>
    <row r="778" spans="8:13" ht="15.75" customHeight="1" x14ac:dyDescent="0.3">
      <c r="H778" s="31"/>
      <c r="I778" s="31"/>
      <c r="J778" s="31"/>
      <c r="K778" s="31"/>
      <c r="L778" s="31"/>
      <c r="M778" s="31"/>
    </row>
    <row r="779" spans="8:13" ht="15.75" customHeight="1" x14ac:dyDescent="0.3">
      <c r="H779" s="31"/>
      <c r="I779" s="31"/>
      <c r="J779" s="31"/>
      <c r="K779" s="31"/>
      <c r="L779" s="31"/>
      <c r="M779" s="31"/>
    </row>
    <row r="780" spans="8:13" ht="15.75" customHeight="1" x14ac:dyDescent="0.3">
      <c r="H780" s="31"/>
      <c r="I780" s="31"/>
      <c r="J780" s="31"/>
      <c r="K780" s="31"/>
      <c r="L780" s="31"/>
      <c r="M780" s="31"/>
    </row>
    <row r="781" spans="8:13" ht="15.75" customHeight="1" x14ac:dyDescent="0.3">
      <c r="H781" s="31"/>
      <c r="I781" s="31"/>
      <c r="J781" s="31"/>
      <c r="K781" s="31"/>
      <c r="L781" s="31"/>
      <c r="M781" s="31"/>
    </row>
    <row r="782" spans="8:13" ht="15.75" customHeight="1" x14ac:dyDescent="0.3">
      <c r="H782" s="31"/>
      <c r="I782" s="31"/>
      <c r="J782" s="31"/>
      <c r="K782" s="31"/>
      <c r="L782" s="31"/>
      <c r="M782" s="31"/>
    </row>
    <row r="783" spans="8:13" ht="15.75" customHeight="1" x14ac:dyDescent="0.3">
      <c r="H783" s="31"/>
      <c r="I783" s="31"/>
      <c r="J783" s="31"/>
      <c r="K783" s="31"/>
      <c r="L783" s="31"/>
      <c r="M783" s="31"/>
    </row>
    <row r="784" spans="8:13" ht="15.75" customHeight="1" x14ac:dyDescent="0.3">
      <c r="H784" s="31"/>
      <c r="I784" s="31"/>
      <c r="J784" s="31"/>
      <c r="K784" s="31"/>
      <c r="L784" s="31"/>
      <c r="M784" s="31"/>
    </row>
    <row r="785" spans="8:13" ht="15.75" customHeight="1" x14ac:dyDescent="0.3">
      <c r="H785" s="31"/>
      <c r="I785" s="31"/>
      <c r="J785" s="31"/>
      <c r="K785" s="31"/>
      <c r="L785" s="31"/>
      <c r="M785" s="31"/>
    </row>
    <row r="786" spans="8:13" ht="15.75" customHeight="1" x14ac:dyDescent="0.3">
      <c r="H786" s="31"/>
      <c r="I786" s="31"/>
      <c r="J786" s="31"/>
      <c r="K786" s="31"/>
      <c r="L786" s="31"/>
      <c r="M786" s="31"/>
    </row>
    <row r="787" spans="8:13" ht="15.75" customHeight="1" x14ac:dyDescent="0.3">
      <c r="H787" s="31"/>
      <c r="I787" s="31"/>
      <c r="J787" s="31"/>
      <c r="K787" s="31"/>
      <c r="L787" s="31"/>
      <c r="M787" s="31"/>
    </row>
    <row r="788" spans="8:13" ht="15.75" customHeight="1" x14ac:dyDescent="0.3">
      <c r="H788" s="31"/>
      <c r="I788" s="31"/>
      <c r="J788" s="31"/>
      <c r="K788" s="31"/>
      <c r="L788" s="31"/>
      <c r="M788" s="31"/>
    </row>
    <row r="789" spans="8:13" ht="15.75" customHeight="1" x14ac:dyDescent="0.3">
      <c r="H789" s="31"/>
      <c r="I789" s="31"/>
      <c r="J789" s="31"/>
      <c r="K789" s="31"/>
      <c r="L789" s="31"/>
      <c r="M789" s="31"/>
    </row>
    <row r="790" spans="8:13" ht="15.75" customHeight="1" x14ac:dyDescent="0.3">
      <c r="H790" s="31"/>
      <c r="I790" s="31"/>
      <c r="J790" s="31"/>
      <c r="K790" s="31"/>
      <c r="L790" s="31"/>
      <c r="M790" s="31"/>
    </row>
    <row r="791" spans="8:13" ht="15.75" customHeight="1" x14ac:dyDescent="0.3">
      <c r="H791" s="31"/>
      <c r="I791" s="31"/>
      <c r="J791" s="31"/>
      <c r="K791" s="31"/>
      <c r="L791" s="31"/>
      <c r="M791" s="31"/>
    </row>
    <row r="792" spans="8:13" ht="15.75" customHeight="1" x14ac:dyDescent="0.3">
      <c r="H792" s="31"/>
      <c r="I792" s="31"/>
      <c r="J792" s="31"/>
      <c r="K792" s="31"/>
      <c r="L792" s="31"/>
      <c r="M792" s="31"/>
    </row>
    <row r="793" spans="8:13" ht="15.75" customHeight="1" x14ac:dyDescent="0.3">
      <c r="H793" s="31"/>
      <c r="I793" s="31"/>
      <c r="J793" s="31"/>
      <c r="K793" s="31"/>
      <c r="L793" s="31"/>
      <c r="M793" s="31"/>
    </row>
    <row r="794" spans="8:13" ht="15.75" customHeight="1" x14ac:dyDescent="0.3">
      <c r="H794" s="31"/>
      <c r="I794" s="31"/>
      <c r="J794" s="31"/>
      <c r="K794" s="31"/>
      <c r="L794" s="31"/>
      <c r="M794" s="31"/>
    </row>
    <row r="795" spans="8:13" ht="15.75" customHeight="1" x14ac:dyDescent="0.3">
      <c r="H795" s="31"/>
      <c r="I795" s="31"/>
      <c r="J795" s="31"/>
      <c r="K795" s="31"/>
      <c r="L795" s="31"/>
      <c r="M795" s="31"/>
    </row>
    <row r="796" spans="8:13" ht="15.75" customHeight="1" x14ac:dyDescent="0.3">
      <c r="H796" s="31"/>
      <c r="I796" s="31"/>
      <c r="J796" s="31"/>
      <c r="K796" s="31"/>
      <c r="L796" s="31"/>
      <c r="M796" s="31"/>
    </row>
    <row r="797" spans="8:13" ht="15.75" customHeight="1" x14ac:dyDescent="0.3">
      <c r="H797" s="31"/>
      <c r="I797" s="31"/>
      <c r="J797" s="31"/>
      <c r="K797" s="31"/>
      <c r="L797" s="31"/>
      <c r="M797" s="31"/>
    </row>
    <row r="798" spans="8:13" ht="15.75" customHeight="1" x14ac:dyDescent="0.3">
      <c r="H798" s="31"/>
      <c r="I798" s="31"/>
      <c r="J798" s="31"/>
      <c r="K798" s="31"/>
      <c r="L798" s="31"/>
      <c r="M798" s="31"/>
    </row>
    <row r="799" spans="8:13" ht="15.75" customHeight="1" x14ac:dyDescent="0.3">
      <c r="H799" s="31"/>
      <c r="I799" s="31"/>
      <c r="J799" s="31"/>
      <c r="K799" s="31"/>
      <c r="L799" s="31"/>
      <c r="M799" s="31"/>
    </row>
    <row r="800" spans="8:13" ht="15.75" customHeight="1" x14ac:dyDescent="0.3">
      <c r="H800" s="31"/>
      <c r="I800" s="31"/>
      <c r="J800" s="31"/>
      <c r="K800" s="31"/>
      <c r="L800" s="31"/>
      <c r="M800" s="31"/>
    </row>
    <row r="801" spans="8:13" ht="15.75" customHeight="1" x14ac:dyDescent="0.3">
      <c r="H801" s="31"/>
      <c r="I801" s="31"/>
      <c r="J801" s="31"/>
      <c r="K801" s="31"/>
      <c r="L801" s="31"/>
      <c r="M801" s="31"/>
    </row>
    <row r="802" spans="8:13" ht="15.75" customHeight="1" x14ac:dyDescent="0.3">
      <c r="H802" s="31"/>
      <c r="I802" s="31"/>
      <c r="J802" s="31"/>
      <c r="K802" s="31"/>
      <c r="L802" s="31"/>
      <c r="M802" s="31"/>
    </row>
    <row r="803" spans="8:13" ht="15.75" customHeight="1" x14ac:dyDescent="0.3">
      <c r="H803" s="31"/>
      <c r="I803" s="31"/>
      <c r="J803" s="31"/>
      <c r="K803" s="31"/>
      <c r="L803" s="31"/>
      <c r="M803" s="31"/>
    </row>
    <row r="804" spans="8:13" ht="15.75" customHeight="1" x14ac:dyDescent="0.3">
      <c r="H804" s="31"/>
      <c r="I804" s="31"/>
      <c r="J804" s="31"/>
      <c r="K804" s="31"/>
      <c r="L804" s="31"/>
      <c r="M804" s="31"/>
    </row>
    <row r="805" spans="8:13" ht="15.75" customHeight="1" x14ac:dyDescent="0.3">
      <c r="H805" s="31"/>
      <c r="I805" s="31"/>
      <c r="J805" s="31"/>
      <c r="K805" s="31"/>
      <c r="L805" s="31"/>
      <c r="M805" s="31"/>
    </row>
    <row r="806" spans="8:13" ht="15.75" customHeight="1" x14ac:dyDescent="0.3">
      <c r="H806" s="31"/>
      <c r="I806" s="31"/>
      <c r="J806" s="31"/>
      <c r="K806" s="31"/>
      <c r="L806" s="31"/>
      <c r="M806" s="31"/>
    </row>
    <row r="807" spans="8:13" ht="15.75" customHeight="1" x14ac:dyDescent="0.3">
      <c r="H807" s="31"/>
      <c r="I807" s="31"/>
      <c r="J807" s="31"/>
      <c r="K807" s="31"/>
      <c r="L807" s="31"/>
      <c r="M807" s="31"/>
    </row>
    <row r="808" spans="8:13" ht="15.75" customHeight="1" x14ac:dyDescent="0.3">
      <c r="H808" s="31"/>
      <c r="I808" s="31"/>
      <c r="J808" s="31"/>
      <c r="K808" s="31"/>
      <c r="L808" s="31"/>
      <c r="M808" s="31"/>
    </row>
    <row r="809" spans="8:13" ht="15.75" customHeight="1" x14ac:dyDescent="0.3">
      <c r="H809" s="31"/>
      <c r="I809" s="31"/>
      <c r="J809" s="31"/>
      <c r="K809" s="31"/>
      <c r="L809" s="31"/>
      <c r="M809" s="31"/>
    </row>
    <row r="810" spans="8:13" ht="15.75" customHeight="1" x14ac:dyDescent="0.3">
      <c r="H810" s="31"/>
      <c r="I810" s="31"/>
      <c r="J810" s="31"/>
      <c r="K810" s="31"/>
      <c r="L810" s="31"/>
      <c r="M810" s="31"/>
    </row>
    <row r="811" spans="8:13" ht="15.75" customHeight="1" x14ac:dyDescent="0.3">
      <c r="H811" s="31"/>
      <c r="I811" s="31"/>
      <c r="J811" s="31"/>
      <c r="K811" s="31"/>
      <c r="L811" s="31"/>
      <c r="M811" s="31"/>
    </row>
    <row r="812" spans="8:13" ht="15.75" customHeight="1" x14ac:dyDescent="0.3">
      <c r="H812" s="31"/>
      <c r="I812" s="31"/>
      <c r="J812" s="31"/>
      <c r="K812" s="31"/>
      <c r="L812" s="31"/>
      <c r="M812" s="31"/>
    </row>
    <row r="813" spans="8:13" ht="15.75" customHeight="1" x14ac:dyDescent="0.3">
      <c r="H813" s="31"/>
      <c r="I813" s="31"/>
      <c r="J813" s="31"/>
      <c r="K813" s="31"/>
      <c r="L813" s="31"/>
      <c r="M813" s="31"/>
    </row>
    <row r="814" spans="8:13" ht="15.75" customHeight="1" x14ac:dyDescent="0.3">
      <c r="H814" s="31"/>
      <c r="I814" s="31"/>
      <c r="J814" s="31"/>
      <c r="K814" s="31"/>
      <c r="L814" s="31"/>
      <c r="M814" s="31"/>
    </row>
    <row r="815" spans="8:13" ht="15.75" customHeight="1" x14ac:dyDescent="0.3">
      <c r="H815" s="31"/>
      <c r="I815" s="31"/>
      <c r="J815" s="31"/>
      <c r="K815" s="31"/>
      <c r="L815" s="31"/>
      <c r="M815" s="31"/>
    </row>
    <row r="816" spans="8:13" ht="15.75" customHeight="1" x14ac:dyDescent="0.3">
      <c r="H816" s="31"/>
      <c r="I816" s="31"/>
      <c r="J816" s="31"/>
      <c r="K816" s="31"/>
      <c r="L816" s="31"/>
      <c r="M816" s="31"/>
    </row>
    <row r="817" spans="8:13" ht="15.75" customHeight="1" x14ac:dyDescent="0.3">
      <c r="H817" s="31"/>
      <c r="I817" s="31"/>
      <c r="J817" s="31"/>
      <c r="K817" s="31"/>
      <c r="L817" s="31"/>
      <c r="M817" s="31"/>
    </row>
    <row r="818" spans="8:13" ht="15.75" customHeight="1" x14ac:dyDescent="0.3">
      <c r="H818" s="31"/>
      <c r="I818" s="31"/>
      <c r="J818" s="31"/>
      <c r="K818" s="31"/>
      <c r="L818" s="31"/>
      <c r="M818" s="31"/>
    </row>
    <row r="819" spans="8:13" ht="15.75" customHeight="1" x14ac:dyDescent="0.3">
      <c r="H819" s="31"/>
      <c r="I819" s="31"/>
      <c r="J819" s="31"/>
      <c r="K819" s="31"/>
      <c r="L819" s="31"/>
      <c r="M819" s="31"/>
    </row>
    <row r="820" spans="8:13" ht="15.75" customHeight="1" x14ac:dyDescent="0.3">
      <c r="H820" s="31"/>
      <c r="I820" s="31"/>
      <c r="J820" s="31"/>
      <c r="K820" s="31"/>
      <c r="L820" s="31"/>
      <c r="M820" s="31"/>
    </row>
    <row r="821" spans="8:13" ht="15.75" customHeight="1" x14ac:dyDescent="0.3">
      <c r="H821" s="31"/>
      <c r="I821" s="31"/>
      <c r="J821" s="31"/>
      <c r="K821" s="31"/>
      <c r="L821" s="31"/>
      <c r="M821" s="31"/>
    </row>
    <row r="822" spans="8:13" ht="15.75" customHeight="1" x14ac:dyDescent="0.3">
      <c r="H822" s="31"/>
      <c r="I822" s="31"/>
      <c r="J822" s="31"/>
      <c r="K822" s="31"/>
      <c r="L822" s="31"/>
      <c r="M822" s="31"/>
    </row>
    <row r="823" spans="8:13" ht="15.75" customHeight="1" x14ac:dyDescent="0.3">
      <c r="H823" s="31"/>
      <c r="I823" s="31"/>
      <c r="J823" s="31"/>
      <c r="K823" s="31"/>
      <c r="L823" s="31"/>
      <c r="M823" s="31"/>
    </row>
    <row r="824" spans="8:13" ht="15.75" customHeight="1" x14ac:dyDescent="0.3">
      <c r="H824" s="31"/>
      <c r="I824" s="31"/>
      <c r="J824" s="31"/>
      <c r="K824" s="31"/>
      <c r="L824" s="31"/>
      <c r="M824" s="31"/>
    </row>
    <row r="825" spans="8:13" ht="15.75" customHeight="1" x14ac:dyDescent="0.3">
      <c r="H825" s="31"/>
      <c r="I825" s="31"/>
      <c r="J825" s="31"/>
      <c r="K825" s="31"/>
      <c r="L825" s="31"/>
      <c r="M825" s="31"/>
    </row>
    <row r="826" spans="8:13" ht="15.75" customHeight="1" x14ac:dyDescent="0.3">
      <c r="H826" s="31"/>
      <c r="I826" s="31"/>
      <c r="J826" s="31"/>
      <c r="K826" s="31"/>
      <c r="L826" s="31"/>
      <c r="M826" s="31"/>
    </row>
    <row r="827" spans="8:13" ht="15.75" customHeight="1" x14ac:dyDescent="0.3">
      <c r="H827" s="31"/>
      <c r="I827" s="31"/>
      <c r="J827" s="31"/>
      <c r="K827" s="31"/>
      <c r="L827" s="31"/>
      <c r="M827" s="31"/>
    </row>
    <row r="828" spans="8:13" ht="15.75" customHeight="1" x14ac:dyDescent="0.3">
      <c r="H828" s="31"/>
      <c r="I828" s="31"/>
      <c r="J828" s="31"/>
      <c r="K828" s="31"/>
      <c r="L828" s="31"/>
      <c r="M828" s="31"/>
    </row>
    <row r="829" spans="8:13" ht="15.75" customHeight="1" x14ac:dyDescent="0.3">
      <c r="H829" s="31"/>
      <c r="I829" s="31"/>
      <c r="J829" s="31"/>
      <c r="K829" s="31"/>
      <c r="L829" s="31"/>
      <c r="M829" s="31"/>
    </row>
    <row r="830" spans="8:13" ht="15.75" customHeight="1" x14ac:dyDescent="0.3">
      <c r="H830" s="31"/>
      <c r="I830" s="31"/>
      <c r="J830" s="31"/>
      <c r="K830" s="31"/>
      <c r="L830" s="31"/>
      <c r="M830" s="31"/>
    </row>
    <row r="831" spans="8:13" ht="15.75" customHeight="1" x14ac:dyDescent="0.3">
      <c r="H831" s="31"/>
      <c r="I831" s="31"/>
      <c r="J831" s="31"/>
      <c r="K831" s="31"/>
      <c r="L831" s="31"/>
      <c r="M831" s="31"/>
    </row>
    <row r="832" spans="8:13" ht="15.75" customHeight="1" x14ac:dyDescent="0.3">
      <c r="H832" s="31"/>
      <c r="I832" s="31"/>
      <c r="J832" s="31"/>
      <c r="K832" s="31"/>
      <c r="L832" s="31"/>
      <c r="M832" s="31"/>
    </row>
    <row r="833" spans="8:13" ht="15.75" customHeight="1" x14ac:dyDescent="0.3">
      <c r="H833" s="31"/>
      <c r="I833" s="31"/>
      <c r="J833" s="31"/>
      <c r="K833" s="31"/>
      <c r="L833" s="31"/>
      <c r="M833" s="31"/>
    </row>
    <row r="834" spans="8:13" ht="15.75" customHeight="1" x14ac:dyDescent="0.3">
      <c r="H834" s="31"/>
      <c r="I834" s="31"/>
      <c r="J834" s="31"/>
      <c r="K834" s="31"/>
      <c r="L834" s="31"/>
      <c r="M834" s="31"/>
    </row>
    <row r="835" spans="8:13" ht="15.75" customHeight="1" x14ac:dyDescent="0.3">
      <c r="H835" s="31"/>
      <c r="I835" s="31"/>
      <c r="J835" s="31"/>
      <c r="K835" s="31"/>
      <c r="L835" s="31"/>
      <c r="M835" s="31"/>
    </row>
    <row r="836" spans="8:13" ht="15.75" customHeight="1" x14ac:dyDescent="0.3">
      <c r="H836" s="31"/>
      <c r="I836" s="31"/>
      <c r="J836" s="31"/>
      <c r="K836" s="31"/>
      <c r="L836" s="31"/>
      <c r="M836" s="31"/>
    </row>
    <row r="837" spans="8:13" ht="15.75" customHeight="1" x14ac:dyDescent="0.3">
      <c r="H837" s="31"/>
      <c r="I837" s="31"/>
      <c r="J837" s="31"/>
      <c r="K837" s="31"/>
      <c r="L837" s="31"/>
      <c r="M837" s="31"/>
    </row>
    <row r="838" spans="8:13" ht="15.75" customHeight="1" x14ac:dyDescent="0.3">
      <c r="H838" s="31"/>
      <c r="I838" s="31"/>
      <c r="J838" s="31"/>
      <c r="K838" s="31"/>
      <c r="L838" s="31"/>
      <c r="M838" s="31"/>
    </row>
    <row r="839" spans="8:13" ht="15.75" customHeight="1" x14ac:dyDescent="0.3">
      <c r="H839" s="31"/>
      <c r="I839" s="31"/>
      <c r="J839" s="31"/>
      <c r="K839" s="31"/>
      <c r="L839" s="31"/>
      <c r="M839" s="31"/>
    </row>
    <row r="840" spans="8:13" ht="15.75" customHeight="1" x14ac:dyDescent="0.3">
      <c r="H840" s="31"/>
      <c r="I840" s="31"/>
      <c r="J840" s="31"/>
      <c r="K840" s="31"/>
      <c r="L840" s="31"/>
      <c r="M840" s="31"/>
    </row>
    <row r="841" spans="8:13" ht="15.75" customHeight="1" x14ac:dyDescent="0.3">
      <c r="H841" s="31"/>
      <c r="I841" s="31"/>
      <c r="J841" s="31"/>
      <c r="K841" s="31"/>
      <c r="L841" s="31"/>
      <c r="M841" s="31"/>
    </row>
    <row r="842" spans="8:13" ht="15.75" customHeight="1" x14ac:dyDescent="0.3">
      <c r="H842" s="31"/>
      <c r="I842" s="31"/>
      <c r="J842" s="31"/>
      <c r="K842" s="31"/>
      <c r="L842" s="31"/>
      <c r="M842" s="31"/>
    </row>
    <row r="843" spans="8:13" ht="15.75" customHeight="1" x14ac:dyDescent="0.3">
      <c r="H843" s="31"/>
      <c r="I843" s="31"/>
      <c r="J843" s="31"/>
      <c r="K843" s="31"/>
      <c r="L843" s="31"/>
      <c r="M843" s="31"/>
    </row>
    <row r="844" spans="8:13" ht="15.75" customHeight="1" x14ac:dyDescent="0.3">
      <c r="H844" s="31"/>
      <c r="I844" s="31"/>
      <c r="J844" s="31"/>
      <c r="K844" s="31"/>
      <c r="L844" s="31"/>
      <c r="M844" s="31"/>
    </row>
    <row r="845" spans="8:13" ht="15.75" customHeight="1" x14ac:dyDescent="0.3">
      <c r="H845" s="31"/>
      <c r="I845" s="31"/>
      <c r="J845" s="31"/>
      <c r="K845" s="31"/>
      <c r="L845" s="31"/>
      <c r="M845" s="31"/>
    </row>
    <row r="846" spans="8:13" ht="15.75" customHeight="1" x14ac:dyDescent="0.3">
      <c r="H846" s="31"/>
      <c r="I846" s="31"/>
      <c r="J846" s="31"/>
      <c r="K846" s="31"/>
      <c r="L846" s="31"/>
      <c r="M846" s="31"/>
    </row>
    <row r="847" spans="8:13" ht="15.75" customHeight="1" x14ac:dyDescent="0.3">
      <c r="H847" s="31"/>
      <c r="I847" s="31"/>
      <c r="J847" s="31"/>
      <c r="K847" s="31"/>
      <c r="L847" s="31"/>
      <c r="M847" s="31"/>
    </row>
    <row r="848" spans="8:13" ht="15.75" customHeight="1" x14ac:dyDescent="0.3">
      <c r="H848" s="31"/>
      <c r="I848" s="31"/>
      <c r="J848" s="31"/>
      <c r="K848" s="31"/>
      <c r="L848" s="31"/>
      <c r="M848" s="31"/>
    </row>
    <row r="849" spans="8:13" ht="15.75" customHeight="1" x14ac:dyDescent="0.3">
      <c r="H849" s="31"/>
      <c r="I849" s="31"/>
      <c r="J849" s="31"/>
      <c r="K849" s="31"/>
      <c r="L849" s="31"/>
      <c r="M849" s="31"/>
    </row>
    <row r="850" spans="8:13" ht="15.75" customHeight="1" x14ac:dyDescent="0.3">
      <c r="H850" s="31"/>
      <c r="I850" s="31"/>
      <c r="J850" s="31"/>
      <c r="K850" s="31"/>
      <c r="L850" s="31"/>
      <c r="M850" s="31"/>
    </row>
    <row r="851" spans="8:13" ht="15.75" customHeight="1" x14ac:dyDescent="0.3">
      <c r="H851" s="31"/>
      <c r="I851" s="31"/>
      <c r="J851" s="31"/>
      <c r="K851" s="31"/>
      <c r="L851" s="31"/>
      <c r="M851" s="31"/>
    </row>
    <row r="852" spans="8:13" ht="15.75" customHeight="1" x14ac:dyDescent="0.3">
      <c r="H852" s="31"/>
      <c r="I852" s="31"/>
      <c r="J852" s="31"/>
      <c r="K852" s="31"/>
      <c r="L852" s="31"/>
      <c r="M852" s="31"/>
    </row>
    <row r="853" spans="8:13" ht="15.75" customHeight="1" x14ac:dyDescent="0.3">
      <c r="H853" s="31"/>
      <c r="I853" s="31"/>
      <c r="J853" s="31"/>
      <c r="K853" s="31"/>
      <c r="L853" s="31"/>
      <c r="M853" s="31"/>
    </row>
    <row r="854" spans="8:13" ht="15.75" customHeight="1" x14ac:dyDescent="0.3">
      <c r="H854" s="31"/>
      <c r="I854" s="31"/>
      <c r="J854" s="31"/>
      <c r="K854" s="31"/>
      <c r="L854" s="31"/>
      <c r="M854" s="31"/>
    </row>
    <row r="855" spans="8:13" ht="15.75" customHeight="1" x14ac:dyDescent="0.3">
      <c r="H855" s="31"/>
      <c r="I855" s="31"/>
      <c r="J855" s="31"/>
      <c r="K855" s="31"/>
      <c r="L855" s="31"/>
      <c r="M855" s="31"/>
    </row>
    <row r="856" spans="8:13" ht="15.75" customHeight="1" x14ac:dyDescent="0.3">
      <c r="H856" s="31"/>
      <c r="I856" s="31"/>
      <c r="J856" s="31"/>
      <c r="K856" s="31"/>
      <c r="L856" s="31"/>
      <c r="M856" s="31"/>
    </row>
    <row r="857" spans="8:13" ht="15.75" customHeight="1" x14ac:dyDescent="0.3">
      <c r="H857" s="31"/>
      <c r="I857" s="31"/>
      <c r="J857" s="31"/>
      <c r="K857" s="31"/>
      <c r="L857" s="31"/>
      <c r="M857" s="31"/>
    </row>
    <row r="858" spans="8:13" ht="15.75" customHeight="1" x14ac:dyDescent="0.3">
      <c r="H858" s="31"/>
      <c r="I858" s="31"/>
      <c r="J858" s="31"/>
      <c r="K858" s="31"/>
      <c r="L858" s="31"/>
      <c r="M858" s="31"/>
    </row>
    <row r="859" spans="8:13" ht="15.75" customHeight="1" x14ac:dyDescent="0.3">
      <c r="H859" s="31"/>
      <c r="I859" s="31"/>
      <c r="J859" s="31"/>
      <c r="K859" s="31"/>
      <c r="L859" s="31"/>
      <c r="M859" s="31"/>
    </row>
    <row r="860" spans="8:13" ht="15.75" customHeight="1" x14ac:dyDescent="0.3">
      <c r="H860" s="31"/>
      <c r="I860" s="31"/>
      <c r="J860" s="31"/>
      <c r="K860" s="31"/>
      <c r="L860" s="31"/>
      <c r="M860" s="31"/>
    </row>
    <row r="861" spans="8:13" ht="15.75" customHeight="1" x14ac:dyDescent="0.3">
      <c r="H861" s="31"/>
      <c r="I861" s="31"/>
      <c r="J861" s="31"/>
      <c r="K861" s="31"/>
      <c r="L861" s="31"/>
      <c r="M861" s="31"/>
    </row>
    <row r="862" spans="8:13" ht="15.75" customHeight="1" x14ac:dyDescent="0.3">
      <c r="H862" s="31"/>
      <c r="I862" s="31"/>
      <c r="J862" s="31"/>
      <c r="K862" s="31"/>
      <c r="L862" s="31"/>
      <c r="M862" s="31"/>
    </row>
    <row r="863" spans="8:13" ht="15.75" customHeight="1" x14ac:dyDescent="0.3">
      <c r="H863" s="31"/>
      <c r="I863" s="31"/>
      <c r="J863" s="31"/>
      <c r="K863" s="31"/>
      <c r="L863" s="31"/>
      <c r="M863" s="31"/>
    </row>
    <row r="864" spans="8:13" ht="15.75" customHeight="1" x14ac:dyDescent="0.3">
      <c r="H864" s="31"/>
      <c r="I864" s="31"/>
      <c r="J864" s="31"/>
      <c r="K864" s="31"/>
      <c r="L864" s="31"/>
      <c r="M864" s="31"/>
    </row>
    <row r="865" spans="8:13" ht="15.75" customHeight="1" x14ac:dyDescent="0.3">
      <c r="H865" s="31"/>
      <c r="I865" s="31"/>
      <c r="J865" s="31"/>
      <c r="K865" s="31"/>
      <c r="L865" s="31"/>
      <c r="M865" s="31"/>
    </row>
    <row r="866" spans="8:13" ht="15.75" customHeight="1" x14ac:dyDescent="0.3">
      <c r="H866" s="31"/>
      <c r="I866" s="31"/>
      <c r="J866" s="31"/>
      <c r="K866" s="31"/>
      <c r="L866" s="31"/>
      <c r="M866" s="31"/>
    </row>
    <row r="867" spans="8:13" ht="15.75" customHeight="1" x14ac:dyDescent="0.3">
      <c r="H867" s="31"/>
      <c r="I867" s="31"/>
      <c r="J867" s="31"/>
      <c r="K867" s="31"/>
      <c r="L867" s="31"/>
      <c r="M867" s="31"/>
    </row>
    <row r="868" spans="8:13" ht="15.75" customHeight="1" x14ac:dyDescent="0.3">
      <c r="H868" s="31"/>
      <c r="I868" s="31"/>
      <c r="J868" s="31"/>
      <c r="K868" s="31"/>
      <c r="L868" s="31"/>
      <c r="M868" s="31"/>
    </row>
    <row r="869" spans="8:13" ht="15.75" customHeight="1" x14ac:dyDescent="0.3">
      <c r="H869" s="31"/>
      <c r="I869" s="31"/>
      <c r="J869" s="31"/>
      <c r="K869" s="31"/>
      <c r="L869" s="31"/>
      <c r="M869" s="31"/>
    </row>
    <row r="870" spans="8:13" ht="15.75" customHeight="1" x14ac:dyDescent="0.3">
      <c r="H870" s="31"/>
      <c r="I870" s="31"/>
      <c r="J870" s="31"/>
      <c r="K870" s="31"/>
      <c r="L870" s="31"/>
      <c r="M870" s="31"/>
    </row>
    <row r="871" spans="8:13" ht="15.75" customHeight="1" x14ac:dyDescent="0.3">
      <c r="H871" s="31"/>
      <c r="I871" s="31"/>
      <c r="J871" s="31"/>
      <c r="K871" s="31"/>
      <c r="L871" s="31"/>
      <c r="M871" s="31"/>
    </row>
    <row r="872" spans="8:13" ht="15.75" customHeight="1" x14ac:dyDescent="0.3">
      <c r="H872" s="31"/>
      <c r="I872" s="31"/>
      <c r="J872" s="31"/>
      <c r="K872" s="31"/>
      <c r="L872" s="31"/>
      <c r="M872" s="31"/>
    </row>
    <row r="873" spans="8:13" ht="15.75" customHeight="1" x14ac:dyDescent="0.3">
      <c r="H873" s="31"/>
      <c r="I873" s="31"/>
      <c r="J873" s="31"/>
      <c r="K873" s="31"/>
      <c r="L873" s="31"/>
      <c r="M873" s="31"/>
    </row>
    <row r="874" spans="8:13" ht="15.75" customHeight="1" x14ac:dyDescent="0.3">
      <c r="H874" s="31"/>
      <c r="I874" s="31"/>
      <c r="J874" s="31"/>
      <c r="K874" s="31"/>
      <c r="L874" s="31"/>
      <c r="M874" s="31"/>
    </row>
    <row r="875" spans="8:13" ht="15.75" customHeight="1" x14ac:dyDescent="0.3">
      <c r="H875" s="31"/>
      <c r="I875" s="31"/>
      <c r="J875" s="31"/>
      <c r="K875" s="31"/>
      <c r="L875" s="31"/>
      <c r="M875" s="31"/>
    </row>
    <row r="876" spans="8:13" ht="15.75" customHeight="1" x14ac:dyDescent="0.3">
      <c r="H876" s="31"/>
      <c r="I876" s="31"/>
      <c r="J876" s="31"/>
      <c r="K876" s="31"/>
      <c r="L876" s="31"/>
      <c r="M876" s="31"/>
    </row>
    <row r="877" spans="8:13" ht="15.75" customHeight="1" x14ac:dyDescent="0.3">
      <c r="H877" s="31"/>
      <c r="I877" s="31"/>
      <c r="J877" s="31"/>
      <c r="K877" s="31"/>
      <c r="L877" s="31"/>
      <c r="M877" s="31"/>
    </row>
    <row r="878" spans="8:13" ht="15.75" customHeight="1" x14ac:dyDescent="0.3">
      <c r="H878" s="31"/>
      <c r="I878" s="31"/>
      <c r="J878" s="31"/>
      <c r="K878" s="31"/>
      <c r="L878" s="31"/>
      <c r="M878" s="31"/>
    </row>
    <row r="879" spans="8:13" ht="15.75" customHeight="1" x14ac:dyDescent="0.3">
      <c r="H879" s="31"/>
      <c r="I879" s="31"/>
      <c r="J879" s="31"/>
      <c r="K879" s="31"/>
      <c r="L879" s="31"/>
      <c r="M879" s="31"/>
    </row>
    <row r="880" spans="8:13" ht="15.75" customHeight="1" x14ac:dyDescent="0.3">
      <c r="H880" s="31"/>
      <c r="I880" s="31"/>
      <c r="J880" s="31"/>
      <c r="K880" s="31"/>
      <c r="L880" s="31"/>
      <c r="M880" s="31"/>
    </row>
    <row r="881" spans="8:13" ht="15.75" customHeight="1" x14ac:dyDescent="0.3">
      <c r="H881" s="31"/>
      <c r="I881" s="31"/>
      <c r="J881" s="31"/>
      <c r="K881" s="31"/>
      <c r="L881" s="31"/>
      <c r="M881" s="31"/>
    </row>
    <row r="882" spans="8:13" ht="15.75" customHeight="1" x14ac:dyDescent="0.3">
      <c r="H882" s="31"/>
      <c r="I882" s="31"/>
      <c r="J882" s="31"/>
      <c r="K882" s="31"/>
      <c r="L882" s="31"/>
      <c r="M882" s="31"/>
    </row>
    <row r="883" spans="8:13" ht="15.75" customHeight="1" x14ac:dyDescent="0.3">
      <c r="H883" s="31"/>
      <c r="I883" s="31"/>
      <c r="J883" s="31"/>
      <c r="K883" s="31"/>
      <c r="L883" s="31"/>
      <c r="M883" s="31"/>
    </row>
    <row r="884" spans="8:13" ht="15.75" customHeight="1" x14ac:dyDescent="0.3">
      <c r="H884" s="31"/>
      <c r="I884" s="31"/>
      <c r="J884" s="31"/>
      <c r="K884" s="31"/>
      <c r="L884" s="31"/>
      <c r="M884" s="31"/>
    </row>
    <row r="885" spans="8:13" ht="15.75" customHeight="1" x14ac:dyDescent="0.3">
      <c r="H885" s="31"/>
      <c r="I885" s="31"/>
      <c r="J885" s="31"/>
      <c r="K885" s="31"/>
      <c r="L885" s="31"/>
      <c r="M885" s="31"/>
    </row>
    <row r="886" spans="8:13" ht="15.75" customHeight="1" x14ac:dyDescent="0.3">
      <c r="H886" s="31"/>
      <c r="I886" s="31"/>
      <c r="J886" s="31"/>
      <c r="K886" s="31"/>
      <c r="L886" s="31"/>
      <c r="M886" s="31"/>
    </row>
    <row r="887" spans="8:13" ht="15.75" customHeight="1" x14ac:dyDescent="0.3">
      <c r="H887" s="31"/>
      <c r="I887" s="31"/>
      <c r="J887" s="31"/>
      <c r="K887" s="31"/>
      <c r="L887" s="31"/>
      <c r="M887" s="31"/>
    </row>
    <row r="888" spans="8:13" ht="15.75" customHeight="1" x14ac:dyDescent="0.3">
      <c r="H888" s="31"/>
      <c r="I888" s="31"/>
      <c r="J888" s="31"/>
      <c r="K888" s="31"/>
      <c r="L888" s="31"/>
      <c r="M888" s="31"/>
    </row>
    <row r="889" spans="8:13" ht="15.75" customHeight="1" x14ac:dyDescent="0.3">
      <c r="H889" s="31"/>
      <c r="I889" s="31"/>
      <c r="J889" s="31"/>
      <c r="K889" s="31"/>
      <c r="L889" s="31"/>
      <c r="M889" s="31"/>
    </row>
    <row r="890" spans="8:13" ht="15.75" customHeight="1" x14ac:dyDescent="0.3">
      <c r="H890" s="31"/>
      <c r="I890" s="31"/>
      <c r="J890" s="31"/>
      <c r="K890" s="31"/>
      <c r="L890" s="31"/>
      <c r="M890" s="31"/>
    </row>
    <row r="891" spans="8:13" ht="15.75" customHeight="1" x14ac:dyDescent="0.3">
      <c r="H891" s="31"/>
      <c r="I891" s="31"/>
      <c r="J891" s="31"/>
      <c r="K891" s="31"/>
      <c r="L891" s="31"/>
      <c r="M891" s="31"/>
    </row>
    <row r="892" spans="8:13" ht="15.75" customHeight="1" x14ac:dyDescent="0.3">
      <c r="H892" s="31"/>
      <c r="I892" s="31"/>
      <c r="J892" s="31"/>
      <c r="K892" s="31"/>
      <c r="L892" s="31"/>
      <c r="M892" s="31"/>
    </row>
    <row r="893" spans="8:13" ht="15.75" customHeight="1" x14ac:dyDescent="0.3">
      <c r="H893" s="31"/>
      <c r="I893" s="31"/>
      <c r="J893" s="31"/>
      <c r="K893" s="31"/>
      <c r="L893" s="31"/>
      <c r="M893" s="31"/>
    </row>
    <row r="894" spans="8:13" ht="15.75" customHeight="1" x14ac:dyDescent="0.3">
      <c r="H894" s="31"/>
      <c r="I894" s="31"/>
      <c r="J894" s="31"/>
      <c r="K894" s="31"/>
      <c r="L894" s="31"/>
      <c r="M894" s="31"/>
    </row>
    <row r="895" spans="8:13" ht="15.75" customHeight="1" x14ac:dyDescent="0.3">
      <c r="H895" s="31"/>
      <c r="I895" s="31"/>
      <c r="J895" s="31"/>
      <c r="K895" s="31"/>
      <c r="L895" s="31"/>
      <c r="M895" s="31"/>
    </row>
    <row r="896" spans="8:13" ht="15.75" customHeight="1" x14ac:dyDescent="0.3">
      <c r="H896" s="31"/>
      <c r="I896" s="31"/>
      <c r="J896" s="31"/>
      <c r="K896" s="31"/>
      <c r="L896" s="31"/>
      <c r="M896" s="31"/>
    </row>
    <row r="897" spans="8:13" ht="15.75" customHeight="1" x14ac:dyDescent="0.3">
      <c r="H897" s="31"/>
      <c r="I897" s="31"/>
      <c r="J897" s="31"/>
      <c r="K897" s="31"/>
      <c r="L897" s="31"/>
      <c r="M897" s="31"/>
    </row>
    <row r="898" spans="8:13" ht="15.75" customHeight="1" x14ac:dyDescent="0.3">
      <c r="H898" s="31"/>
      <c r="I898" s="31"/>
      <c r="J898" s="31"/>
      <c r="K898" s="31"/>
      <c r="L898" s="31"/>
      <c r="M898" s="31"/>
    </row>
    <row r="899" spans="8:13" ht="15.75" customHeight="1" x14ac:dyDescent="0.3">
      <c r="H899" s="31"/>
      <c r="I899" s="31"/>
      <c r="J899" s="31"/>
      <c r="K899" s="31"/>
      <c r="L899" s="31"/>
      <c r="M899" s="31"/>
    </row>
    <row r="900" spans="8:13" ht="15.75" customHeight="1" x14ac:dyDescent="0.3">
      <c r="H900" s="31"/>
      <c r="I900" s="31"/>
      <c r="J900" s="31"/>
      <c r="K900" s="31"/>
      <c r="L900" s="31"/>
      <c r="M900" s="31"/>
    </row>
    <row r="901" spans="8:13" ht="15.75" customHeight="1" x14ac:dyDescent="0.3">
      <c r="H901" s="31"/>
      <c r="I901" s="31"/>
      <c r="J901" s="31"/>
      <c r="K901" s="31"/>
      <c r="L901" s="31"/>
      <c r="M901" s="31"/>
    </row>
    <row r="902" spans="8:13" ht="15.75" customHeight="1" x14ac:dyDescent="0.3">
      <c r="H902" s="31"/>
      <c r="I902" s="31"/>
      <c r="J902" s="31"/>
      <c r="K902" s="31"/>
      <c r="L902" s="31"/>
      <c r="M902" s="31"/>
    </row>
    <row r="903" spans="8:13" ht="15.75" customHeight="1" x14ac:dyDescent="0.3">
      <c r="H903" s="31"/>
      <c r="I903" s="31"/>
      <c r="J903" s="31"/>
      <c r="K903" s="31"/>
      <c r="L903" s="31"/>
      <c r="M903" s="31"/>
    </row>
    <row r="904" spans="8:13" ht="15.75" customHeight="1" x14ac:dyDescent="0.3">
      <c r="H904" s="31"/>
      <c r="I904" s="31"/>
      <c r="J904" s="31"/>
      <c r="K904" s="31"/>
      <c r="L904" s="31"/>
      <c r="M904" s="31"/>
    </row>
    <row r="905" spans="8:13" ht="15.75" customHeight="1" x14ac:dyDescent="0.3">
      <c r="H905" s="31"/>
      <c r="I905" s="31"/>
      <c r="J905" s="31"/>
      <c r="K905" s="31"/>
      <c r="L905" s="31"/>
      <c r="M905" s="31"/>
    </row>
    <row r="906" spans="8:13" ht="15.75" customHeight="1" x14ac:dyDescent="0.3">
      <c r="H906" s="31"/>
      <c r="I906" s="31"/>
      <c r="J906" s="31"/>
      <c r="K906" s="31"/>
      <c r="L906" s="31"/>
      <c r="M906" s="31"/>
    </row>
    <row r="907" spans="8:13" ht="15.75" customHeight="1" x14ac:dyDescent="0.3">
      <c r="H907" s="31"/>
      <c r="I907" s="31"/>
      <c r="J907" s="31"/>
      <c r="K907" s="31"/>
      <c r="L907" s="31"/>
      <c r="M907" s="31"/>
    </row>
    <row r="908" spans="8:13" ht="15.75" customHeight="1" x14ac:dyDescent="0.3">
      <c r="H908" s="31"/>
      <c r="I908" s="31"/>
      <c r="J908" s="31"/>
      <c r="K908" s="31"/>
      <c r="L908" s="31"/>
      <c r="M908" s="31"/>
    </row>
    <row r="909" spans="8:13" ht="15.75" customHeight="1" x14ac:dyDescent="0.3">
      <c r="H909" s="31"/>
      <c r="I909" s="31"/>
      <c r="J909" s="31"/>
      <c r="K909" s="31"/>
      <c r="L909" s="31"/>
      <c r="M909" s="31"/>
    </row>
    <row r="910" spans="8:13" ht="15.75" customHeight="1" x14ac:dyDescent="0.3">
      <c r="H910" s="31"/>
      <c r="I910" s="31"/>
      <c r="J910" s="31"/>
      <c r="K910" s="31"/>
      <c r="L910" s="31"/>
      <c r="M910" s="31"/>
    </row>
    <row r="911" spans="8:13" ht="15.75" customHeight="1" x14ac:dyDescent="0.3">
      <c r="H911" s="31"/>
      <c r="I911" s="31"/>
      <c r="J911" s="31"/>
      <c r="K911" s="31"/>
      <c r="L911" s="31"/>
      <c r="M911" s="31"/>
    </row>
    <row r="912" spans="8:13" ht="15.75" customHeight="1" x14ac:dyDescent="0.3">
      <c r="H912" s="31"/>
      <c r="I912" s="31"/>
      <c r="J912" s="31"/>
      <c r="K912" s="31"/>
      <c r="L912" s="31"/>
      <c r="M912" s="31"/>
    </row>
    <row r="913" spans="8:13" ht="15.75" customHeight="1" x14ac:dyDescent="0.3">
      <c r="H913" s="31"/>
      <c r="I913" s="31"/>
      <c r="J913" s="31"/>
      <c r="K913" s="31"/>
      <c r="L913" s="31"/>
      <c r="M913" s="31"/>
    </row>
    <row r="914" spans="8:13" ht="15.75" customHeight="1" x14ac:dyDescent="0.3">
      <c r="H914" s="31"/>
      <c r="I914" s="31"/>
      <c r="J914" s="31"/>
      <c r="K914" s="31"/>
      <c r="L914" s="31"/>
      <c r="M914" s="31"/>
    </row>
    <row r="915" spans="8:13" ht="15.75" customHeight="1" x14ac:dyDescent="0.3">
      <c r="H915" s="31"/>
      <c r="I915" s="31"/>
      <c r="J915" s="31"/>
      <c r="K915" s="31"/>
      <c r="L915" s="31"/>
      <c r="M915" s="31"/>
    </row>
    <row r="916" spans="8:13" ht="15.75" customHeight="1" x14ac:dyDescent="0.3">
      <c r="H916" s="31"/>
      <c r="I916" s="31"/>
      <c r="J916" s="31"/>
      <c r="K916" s="31"/>
      <c r="L916" s="31"/>
      <c r="M916" s="31"/>
    </row>
    <row r="917" spans="8:13" ht="15.75" customHeight="1" x14ac:dyDescent="0.3">
      <c r="H917" s="31"/>
      <c r="I917" s="31"/>
      <c r="J917" s="31"/>
      <c r="K917" s="31"/>
      <c r="L917" s="31"/>
      <c r="M917" s="31"/>
    </row>
    <row r="918" spans="8:13" ht="15.75" customHeight="1" x14ac:dyDescent="0.3">
      <c r="H918" s="31"/>
      <c r="I918" s="31"/>
      <c r="J918" s="31"/>
      <c r="K918" s="31"/>
      <c r="L918" s="31"/>
      <c r="M918" s="31"/>
    </row>
    <row r="919" spans="8:13" ht="15.75" customHeight="1" x14ac:dyDescent="0.3">
      <c r="H919" s="31"/>
      <c r="I919" s="31"/>
      <c r="J919" s="31"/>
      <c r="K919" s="31"/>
      <c r="L919" s="31"/>
      <c r="M919" s="31"/>
    </row>
    <row r="920" spans="8:13" ht="15.75" customHeight="1" x14ac:dyDescent="0.3">
      <c r="H920" s="31"/>
      <c r="I920" s="31"/>
      <c r="J920" s="31"/>
      <c r="K920" s="31"/>
      <c r="L920" s="31"/>
      <c r="M920" s="31"/>
    </row>
    <row r="921" spans="8:13" ht="15.75" customHeight="1" x14ac:dyDescent="0.3">
      <c r="H921" s="31"/>
      <c r="I921" s="31"/>
      <c r="J921" s="31"/>
      <c r="K921" s="31"/>
      <c r="L921" s="31"/>
      <c r="M921" s="31"/>
    </row>
    <row r="922" spans="8:13" ht="15.75" customHeight="1" x14ac:dyDescent="0.3">
      <c r="H922" s="31"/>
      <c r="I922" s="31"/>
      <c r="J922" s="31"/>
      <c r="K922" s="31"/>
      <c r="L922" s="31"/>
      <c r="M922" s="31"/>
    </row>
    <row r="923" spans="8:13" ht="15.75" customHeight="1" x14ac:dyDescent="0.3">
      <c r="H923" s="31"/>
      <c r="I923" s="31"/>
      <c r="J923" s="31"/>
      <c r="K923" s="31"/>
      <c r="L923" s="31"/>
      <c r="M923" s="31"/>
    </row>
    <row r="924" spans="8:13" ht="15.75" customHeight="1" x14ac:dyDescent="0.3">
      <c r="H924" s="31"/>
      <c r="I924" s="31"/>
      <c r="J924" s="31"/>
      <c r="K924" s="31"/>
      <c r="L924" s="31"/>
      <c r="M924" s="31"/>
    </row>
    <row r="925" spans="8:13" ht="15.75" customHeight="1" x14ac:dyDescent="0.3">
      <c r="H925" s="31"/>
      <c r="I925" s="31"/>
      <c r="J925" s="31"/>
      <c r="K925" s="31"/>
      <c r="L925" s="31"/>
      <c r="M925" s="31"/>
    </row>
    <row r="926" spans="8:13" ht="15.75" customHeight="1" x14ac:dyDescent="0.3">
      <c r="H926" s="31"/>
      <c r="I926" s="31"/>
      <c r="J926" s="31"/>
      <c r="K926" s="31"/>
      <c r="L926" s="31"/>
      <c r="M926" s="31"/>
    </row>
    <row r="927" spans="8:13" ht="15.75" customHeight="1" x14ac:dyDescent="0.3">
      <c r="H927" s="31"/>
      <c r="I927" s="31"/>
      <c r="J927" s="31"/>
      <c r="K927" s="31"/>
      <c r="L927" s="31"/>
      <c r="M927" s="31"/>
    </row>
    <row r="928" spans="8:13" ht="15.75" customHeight="1" x14ac:dyDescent="0.3">
      <c r="H928" s="31"/>
      <c r="I928" s="31"/>
      <c r="J928" s="31"/>
      <c r="K928" s="31"/>
      <c r="L928" s="31"/>
      <c r="M928" s="31"/>
    </row>
    <row r="929" spans="8:13" ht="15.75" customHeight="1" x14ac:dyDescent="0.3">
      <c r="H929" s="31"/>
      <c r="I929" s="31"/>
      <c r="J929" s="31"/>
      <c r="K929" s="31"/>
      <c r="L929" s="31"/>
      <c r="M929" s="31"/>
    </row>
    <row r="930" spans="8:13" ht="15.75" customHeight="1" x14ac:dyDescent="0.3">
      <c r="H930" s="31"/>
      <c r="I930" s="31"/>
      <c r="J930" s="31"/>
      <c r="K930" s="31"/>
      <c r="L930" s="31"/>
      <c r="M930" s="31"/>
    </row>
    <row r="931" spans="8:13" ht="15.75" customHeight="1" x14ac:dyDescent="0.3">
      <c r="H931" s="31"/>
      <c r="I931" s="31"/>
      <c r="J931" s="31"/>
      <c r="K931" s="31"/>
      <c r="L931" s="31"/>
      <c r="M931" s="31"/>
    </row>
    <row r="932" spans="8:13" ht="15.75" customHeight="1" x14ac:dyDescent="0.3">
      <c r="H932" s="31"/>
      <c r="I932" s="31"/>
      <c r="J932" s="31"/>
      <c r="K932" s="31"/>
      <c r="L932" s="31"/>
      <c r="M932" s="31"/>
    </row>
    <row r="933" spans="8:13" ht="15.75" customHeight="1" x14ac:dyDescent="0.3">
      <c r="H933" s="31"/>
      <c r="I933" s="31"/>
      <c r="J933" s="31"/>
      <c r="K933" s="31"/>
      <c r="L933" s="31"/>
      <c r="M933" s="31"/>
    </row>
    <row r="934" spans="8:13" ht="15.75" customHeight="1" x14ac:dyDescent="0.3">
      <c r="H934" s="31"/>
      <c r="I934" s="31"/>
      <c r="J934" s="31"/>
      <c r="K934" s="31"/>
      <c r="L934" s="31"/>
      <c r="M934" s="31"/>
    </row>
    <row r="935" spans="8:13" ht="15.75" customHeight="1" x14ac:dyDescent="0.3">
      <c r="H935" s="31"/>
      <c r="I935" s="31"/>
      <c r="J935" s="31"/>
      <c r="K935" s="31"/>
      <c r="L935" s="31"/>
      <c r="M935" s="31"/>
    </row>
    <row r="936" spans="8:13" ht="15.75" customHeight="1" x14ac:dyDescent="0.3">
      <c r="H936" s="31"/>
      <c r="I936" s="31"/>
      <c r="J936" s="31"/>
      <c r="K936" s="31"/>
      <c r="L936" s="31"/>
      <c r="M936" s="31"/>
    </row>
    <row r="937" spans="8:13" ht="15.75" customHeight="1" x14ac:dyDescent="0.3">
      <c r="H937" s="31"/>
      <c r="I937" s="31"/>
      <c r="J937" s="31"/>
      <c r="K937" s="31"/>
      <c r="L937" s="31"/>
      <c r="M937" s="31"/>
    </row>
    <row r="938" spans="8:13" ht="15.75" customHeight="1" x14ac:dyDescent="0.3">
      <c r="H938" s="31"/>
      <c r="I938" s="31"/>
      <c r="J938" s="31"/>
      <c r="K938" s="31"/>
      <c r="L938" s="31"/>
      <c r="M938" s="31"/>
    </row>
    <row r="939" spans="8:13" ht="15.75" customHeight="1" x14ac:dyDescent="0.3">
      <c r="H939" s="31"/>
      <c r="I939" s="31"/>
      <c r="J939" s="31"/>
      <c r="K939" s="31"/>
      <c r="L939" s="31"/>
      <c r="M939" s="31"/>
    </row>
    <row r="940" spans="8:13" ht="15.75" customHeight="1" x14ac:dyDescent="0.3">
      <c r="H940" s="31"/>
      <c r="I940" s="31"/>
      <c r="J940" s="31"/>
      <c r="K940" s="31"/>
      <c r="L940" s="31"/>
      <c r="M940" s="31"/>
    </row>
    <row r="941" spans="8:13" ht="15.75" customHeight="1" x14ac:dyDescent="0.3">
      <c r="H941" s="31"/>
      <c r="I941" s="31"/>
      <c r="J941" s="31"/>
      <c r="K941" s="31"/>
      <c r="L941" s="31"/>
      <c r="M941" s="31"/>
    </row>
    <row r="942" spans="8:13" ht="15.75" customHeight="1" x14ac:dyDescent="0.3">
      <c r="H942" s="31"/>
      <c r="I942" s="31"/>
      <c r="J942" s="31"/>
      <c r="K942" s="31"/>
      <c r="L942" s="31"/>
      <c r="M942" s="31"/>
    </row>
    <row r="943" spans="8:13" ht="15.75" customHeight="1" x14ac:dyDescent="0.3">
      <c r="H943" s="31"/>
      <c r="I943" s="31"/>
      <c r="J943" s="31"/>
      <c r="K943" s="31"/>
      <c r="L943" s="31"/>
      <c r="M943" s="31"/>
    </row>
    <row r="944" spans="8:13" ht="15.75" customHeight="1" x14ac:dyDescent="0.3">
      <c r="H944" s="31"/>
      <c r="I944" s="31"/>
      <c r="J944" s="31"/>
      <c r="K944" s="31"/>
      <c r="L944" s="31"/>
      <c r="M944" s="31"/>
    </row>
    <row r="945" spans="8:13" ht="15.75" customHeight="1" x14ac:dyDescent="0.3">
      <c r="H945" s="31"/>
      <c r="I945" s="31"/>
      <c r="J945" s="31"/>
      <c r="K945" s="31"/>
      <c r="L945" s="31"/>
      <c r="M945" s="31"/>
    </row>
    <row r="946" spans="8:13" ht="15.75" customHeight="1" x14ac:dyDescent="0.3">
      <c r="H946" s="31"/>
      <c r="I946" s="31"/>
      <c r="J946" s="31"/>
      <c r="K946" s="31"/>
      <c r="L946" s="31"/>
      <c r="M946" s="31"/>
    </row>
    <row r="947" spans="8:13" ht="15.75" customHeight="1" x14ac:dyDescent="0.3">
      <c r="H947" s="31"/>
      <c r="I947" s="31"/>
      <c r="J947" s="31"/>
      <c r="K947" s="31"/>
      <c r="L947" s="31"/>
      <c r="M947" s="31"/>
    </row>
    <row r="948" spans="8:13" ht="15.75" customHeight="1" x14ac:dyDescent="0.3">
      <c r="H948" s="31"/>
      <c r="I948" s="31"/>
      <c r="J948" s="31"/>
      <c r="K948" s="31"/>
      <c r="L948" s="31"/>
      <c r="M948" s="31"/>
    </row>
    <row r="949" spans="8:13" ht="15.75" customHeight="1" x14ac:dyDescent="0.3">
      <c r="H949" s="31"/>
      <c r="I949" s="31"/>
      <c r="J949" s="31"/>
      <c r="K949" s="31"/>
      <c r="L949" s="31"/>
      <c r="M949" s="31"/>
    </row>
    <row r="950" spans="8:13" ht="15.75" customHeight="1" x14ac:dyDescent="0.3">
      <c r="H950" s="31"/>
      <c r="I950" s="31"/>
      <c r="J950" s="31"/>
      <c r="K950" s="31"/>
      <c r="L950" s="31"/>
      <c r="M950" s="31"/>
    </row>
    <row r="951" spans="8:13" ht="15.75" customHeight="1" x14ac:dyDescent="0.3">
      <c r="H951" s="31"/>
      <c r="I951" s="31"/>
      <c r="J951" s="31"/>
      <c r="K951" s="31"/>
      <c r="L951" s="31"/>
      <c r="M951" s="31"/>
    </row>
    <row r="952" spans="8:13" ht="15.75" customHeight="1" x14ac:dyDescent="0.3">
      <c r="H952" s="31"/>
      <c r="I952" s="31"/>
      <c r="J952" s="31"/>
      <c r="K952" s="31"/>
      <c r="L952" s="31"/>
      <c r="M952" s="31"/>
    </row>
    <row r="953" spans="8:13" ht="15.75" customHeight="1" x14ac:dyDescent="0.3">
      <c r="H953" s="31"/>
      <c r="I953" s="31"/>
      <c r="J953" s="31"/>
      <c r="K953" s="31"/>
      <c r="L953" s="31"/>
      <c r="M953" s="31"/>
    </row>
    <row r="954" spans="8:13" ht="15.75" customHeight="1" x14ac:dyDescent="0.3">
      <c r="H954" s="31"/>
      <c r="I954" s="31"/>
      <c r="J954" s="31"/>
      <c r="K954" s="31"/>
      <c r="L954" s="31"/>
      <c r="M954" s="31"/>
    </row>
    <row r="955" spans="8:13" ht="15.75" customHeight="1" x14ac:dyDescent="0.3">
      <c r="H955" s="31"/>
      <c r="I955" s="31"/>
      <c r="J955" s="31"/>
      <c r="K955" s="31"/>
      <c r="L955" s="31"/>
      <c r="M955" s="31"/>
    </row>
    <row r="956" spans="8:13" ht="15.75" customHeight="1" x14ac:dyDescent="0.3">
      <c r="H956" s="31"/>
      <c r="I956" s="31"/>
      <c r="J956" s="31"/>
      <c r="K956" s="31"/>
      <c r="L956" s="31"/>
      <c r="M956" s="31"/>
    </row>
    <row r="957" spans="8:13" ht="15.75" customHeight="1" x14ac:dyDescent="0.3">
      <c r="H957" s="31"/>
      <c r="I957" s="31"/>
      <c r="J957" s="31"/>
      <c r="K957" s="31"/>
      <c r="L957" s="31"/>
      <c r="M957" s="31"/>
    </row>
    <row r="958" spans="8:13" ht="15.75" customHeight="1" x14ac:dyDescent="0.3">
      <c r="H958" s="31"/>
      <c r="I958" s="31"/>
      <c r="J958" s="31"/>
      <c r="K958" s="31"/>
      <c r="L958" s="31"/>
      <c r="M958" s="31"/>
    </row>
    <row r="959" spans="8:13" ht="15.75" customHeight="1" x14ac:dyDescent="0.3">
      <c r="H959" s="31"/>
      <c r="I959" s="31"/>
      <c r="J959" s="31"/>
      <c r="K959" s="31"/>
      <c r="L959" s="31"/>
      <c r="M959" s="31"/>
    </row>
    <row r="960" spans="8:13" ht="15.75" customHeight="1" x14ac:dyDescent="0.3">
      <c r="H960" s="31"/>
      <c r="I960" s="31"/>
      <c r="J960" s="31"/>
      <c r="K960" s="31"/>
      <c r="L960" s="31"/>
      <c r="M960" s="31"/>
    </row>
    <row r="961" spans="8:13" ht="15.75" customHeight="1" x14ac:dyDescent="0.3">
      <c r="H961" s="31"/>
      <c r="I961" s="31"/>
      <c r="J961" s="31"/>
      <c r="K961" s="31"/>
      <c r="L961" s="31"/>
      <c r="M961" s="31"/>
    </row>
    <row r="962" spans="8:13" ht="15.75" customHeight="1" x14ac:dyDescent="0.3">
      <c r="H962" s="31"/>
      <c r="I962" s="31"/>
      <c r="J962" s="31"/>
      <c r="K962" s="31"/>
      <c r="L962" s="31"/>
      <c r="M962" s="31"/>
    </row>
    <row r="963" spans="8:13" ht="15.75" customHeight="1" x14ac:dyDescent="0.3">
      <c r="H963" s="31"/>
      <c r="I963" s="31"/>
      <c r="J963" s="31"/>
      <c r="K963" s="31"/>
      <c r="L963" s="31"/>
      <c r="M963" s="31"/>
    </row>
    <row r="964" spans="8:13" ht="15.75" customHeight="1" x14ac:dyDescent="0.3">
      <c r="H964" s="31"/>
      <c r="I964" s="31"/>
      <c r="J964" s="31"/>
      <c r="K964" s="31"/>
      <c r="L964" s="31"/>
      <c r="M964" s="31"/>
    </row>
    <row r="965" spans="8:13" ht="15.75" customHeight="1" x14ac:dyDescent="0.3">
      <c r="H965" s="31"/>
      <c r="I965" s="31"/>
      <c r="J965" s="31"/>
      <c r="K965" s="31"/>
      <c r="L965" s="31"/>
      <c r="M965" s="31"/>
    </row>
    <row r="966" spans="8:13" ht="15.75" customHeight="1" x14ac:dyDescent="0.3">
      <c r="H966" s="31"/>
      <c r="I966" s="31"/>
      <c r="J966" s="31"/>
      <c r="K966" s="31"/>
      <c r="L966" s="31"/>
      <c r="M966" s="31"/>
    </row>
    <row r="967" spans="8:13" ht="15.75" customHeight="1" x14ac:dyDescent="0.3">
      <c r="H967" s="31"/>
      <c r="I967" s="31"/>
      <c r="J967" s="31"/>
      <c r="K967" s="31"/>
      <c r="L967" s="31"/>
      <c r="M967" s="31"/>
    </row>
    <row r="968" spans="8:13" ht="15.75" customHeight="1" x14ac:dyDescent="0.3">
      <c r="H968" s="31"/>
      <c r="I968" s="31"/>
      <c r="J968" s="31"/>
      <c r="K968" s="31"/>
      <c r="L968" s="31"/>
      <c r="M968" s="31"/>
    </row>
    <row r="969" spans="8:13" ht="15.75" customHeight="1" x14ac:dyDescent="0.3">
      <c r="H969" s="31"/>
      <c r="I969" s="31"/>
      <c r="J969" s="31"/>
      <c r="K969" s="31"/>
      <c r="L969" s="31"/>
      <c r="M969" s="31"/>
    </row>
    <row r="970" spans="8:13" ht="15.75" customHeight="1" x14ac:dyDescent="0.3">
      <c r="H970" s="31"/>
      <c r="I970" s="31"/>
      <c r="J970" s="31"/>
      <c r="K970" s="31"/>
      <c r="L970" s="31"/>
      <c r="M970" s="31"/>
    </row>
    <row r="971" spans="8:13" ht="15.75" customHeight="1" x14ac:dyDescent="0.3">
      <c r="H971" s="31"/>
      <c r="I971" s="31"/>
      <c r="J971" s="31"/>
      <c r="K971" s="31"/>
      <c r="L971" s="31"/>
      <c r="M971" s="31"/>
    </row>
    <row r="972" spans="8:13" ht="15.75" customHeight="1" x14ac:dyDescent="0.3">
      <c r="H972" s="31"/>
      <c r="I972" s="31"/>
      <c r="J972" s="31"/>
      <c r="K972" s="31"/>
      <c r="L972" s="31"/>
      <c r="M972" s="31"/>
    </row>
    <row r="973" spans="8:13" ht="15.75" customHeight="1" x14ac:dyDescent="0.3">
      <c r="H973" s="31"/>
      <c r="I973" s="31"/>
      <c r="J973" s="31"/>
      <c r="K973" s="31"/>
      <c r="L973" s="31"/>
      <c r="M973" s="31"/>
    </row>
    <row r="974" spans="8:13" ht="15.75" customHeight="1" x14ac:dyDescent="0.3">
      <c r="H974" s="31"/>
      <c r="I974" s="31"/>
      <c r="J974" s="31"/>
      <c r="K974" s="31"/>
      <c r="L974" s="31"/>
      <c r="M974" s="31"/>
    </row>
    <row r="975" spans="8:13" ht="15.75" customHeight="1" x14ac:dyDescent="0.3">
      <c r="H975" s="31"/>
      <c r="I975" s="31"/>
      <c r="J975" s="31"/>
      <c r="K975" s="31"/>
      <c r="L975" s="31"/>
      <c r="M975" s="31"/>
    </row>
    <row r="976" spans="8:13" ht="15.75" customHeight="1" x14ac:dyDescent="0.3">
      <c r="H976" s="31"/>
      <c r="I976" s="31"/>
      <c r="J976" s="31"/>
      <c r="K976" s="31"/>
      <c r="L976" s="31"/>
      <c r="M976" s="31"/>
    </row>
    <row r="977" spans="8:13" ht="15.75" customHeight="1" x14ac:dyDescent="0.3">
      <c r="H977" s="31"/>
      <c r="I977" s="31"/>
      <c r="J977" s="31"/>
      <c r="K977" s="31"/>
      <c r="L977" s="31"/>
      <c r="M977" s="31"/>
    </row>
    <row r="978" spans="8:13" ht="15.75" customHeight="1" x14ac:dyDescent="0.3">
      <c r="H978" s="31"/>
      <c r="I978" s="31"/>
      <c r="J978" s="31"/>
      <c r="K978" s="31"/>
      <c r="L978" s="31"/>
      <c r="M978" s="31"/>
    </row>
    <row r="979" spans="8:13" ht="15.75" customHeight="1" x14ac:dyDescent="0.3">
      <c r="H979" s="31"/>
      <c r="I979" s="31"/>
      <c r="J979" s="31"/>
      <c r="K979" s="31"/>
      <c r="L979" s="31"/>
      <c r="M979" s="31"/>
    </row>
    <row r="980" spans="8:13" ht="15.75" customHeight="1" x14ac:dyDescent="0.3">
      <c r="H980" s="31"/>
      <c r="I980" s="31"/>
      <c r="J980" s="31"/>
      <c r="K980" s="31"/>
      <c r="L980" s="31"/>
      <c r="M980" s="31"/>
    </row>
    <row r="981" spans="8:13" ht="15.75" customHeight="1" x14ac:dyDescent="0.3">
      <c r="H981" s="31"/>
      <c r="I981" s="31"/>
      <c r="J981" s="31"/>
      <c r="K981" s="31"/>
      <c r="L981" s="31"/>
      <c r="M981" s="31"/>
    </row>
    <row r="982" spans="8:13" ht="15.75" customHeight="1" x14ac:dyDescent="0.3">
      <c r="H982" s="31"/>
      <c r="I982" s="31"/>
      <c r="J982" s="31"/>
      <c r="K982" s="31"/>
      <c r="L982" s="31"/>
      <c r="M982" s="31"/>
    </row>
    <row r="983" spans="8:13" ht="15.75" customHeight="1" x14ac:dyDescent="0.3">
      <c r="H983" s="31"/>
      <c r="I983" s="31"/>
      <c r="J983" s="31"/>
      <c r="K983" s="31"/>
      <c r="L983" s="31"/>
      <c r="M983" s="31"/>
    </row>
    <row r="984" spans="8:13" ht="15.75" customHeight="1" x14ac:dyDescent="0.3">
      <c r="H984" s="31"/>
      <c r="I984" s="31"/>
      <c r="J984" s="31"/>
      <c r="K984" s="31"/>
      <c r="L984" s="31"/>
      <c r="M984" s="31"/>
    </row>
    <row r="985" spans="8:13" ht="15.75" customHeight="1" x14ac:dyDescent="0.3">
      <c r="H985" s="31"/>
      <c r="I985" s="31"/>
      <c r="J985" s="31"/>
      <c r="K985" s="31"/>
      <c r="L985" s="31"/>
      <c r="M985" s="31"/>
    </row>
    <row r="986" spans="8:13" ht="15.75" customHeight="1" x14ac:dyDescent="0.3">
      <c r="H986" s="31"/>
      <c r="I986" s="31"/>
      <c r="J986" s="31"/>
      <c r="K986" s="31"/>
      <c r="L986" s="31"/>
      <c r="M986" s="31"/>
    </row>
    <row r="987" spans="8:13" ht="15.75" customHeight="1" x14ac:dyDescent="0.3">
      <c r="H987" s="31"/>
      <c r="I987" s="31"/>
      <c r="J987" s="31"/>
      <c r="K987" s="31"/>
      <c r="L987" s="31"/>
      <c r="M987" s="31"/>
    </row>
    <row r="988" spans="8:13" ht="15.75" customHeight="1" x14ac:dyDescent="0.3">
      <c r="H988" s="31"/>
      <c r="I988" s="31"/>
      <c r="J988" s="31"/>
      <c r="K988" s="31"/>
      <c r="L988" s="31"/>
      <c r="M988" s="31"/>
    </row>
    <row r="989" spans="8:13" ht="15.75" customHeight="1" x14ac:dyDescent="0.3">
      <c r="H989" s="31"/>
      <c r="I989" s="31"/>
      <c r="J989" s="31"/>
      <c r="K989" s="31"/>
      <c r="L989" s="31"/>
      <c r="M989" s="31"/>
    </row>
    <row r="990" spans="8:13" ht="15.75" customHeight="1" x14ac:dyDescent="0.3">
      <c r="H990" s="31"/>
      <c r="I990" s="31"/>
      <c r="J990" s="31"/>
      <c r="K990" s="31"/>
      <c r="L990" s="31"/>
      <c r="M990" s="31"/>
    </row>
    <row r="991" spans="8:13" ht="15.75" customHeight="1" x14ac:dyDescent="0.3">
      <c r="H991" s="31"/>
      <c r="I991" s="31"/>
      <c r="J991" s="31"/>
      <c r="K991" s="31"/>
      <c r="L991" s="31"/>
      <c r="M991" s="31"/>
    </row>
    <row r="992" spans="8:13" ht="15.75" customHeight="1" x14ac:dyDescent="0.3">
      <c r="H992" s="31"/>
      <c r="I992" s="31"/>
      <c r="J992" s="31"/>
      <c r="K992" s="31"/>
      <c r="L992" s="31"/>
      <c r="M992" s="31"/>
    </row>
    <row r="993" spans="8:13" ht="15.75" customHeight="1" x14ac:dyDescent="0.3">
      <c r="H993" s="31"/>
      <c r="I993" s="31"/>
      <c r="J993" s="31"/>
      <c r="K993" s="31"/>
      <c r="L993" s="31"/>
      <c r="M993" s="31"/>
    </row>
    <row r="994" spans="8:13" ht="15.75" customHeight="1" x14ac:dyDescent="0.3">
      <c r="H994" s="31"/>
      <c r="I994" s="31"/>
      <c r="J994" s="31"/>
      <c r="K994" s="31"/>
      <c r="L994" s="31"/>
      <c r="M994" s="31"/>
    </row>
    <row r="995" spans="8:13" ht="15.75" customHeight="1" x14ac:dyDescent="0.3">
      <c r="H995" s="31"/>
      <c r="I995" s="31"/>
      <c r="J995" s="31"/>
      <c r="K995" s="31"/>
      <c r="L995" s="31"/>
      <c r="M995" s="31"/>
    </row>
    <row r="996" spans="8:13" ht="15.75" customHeight="1" x14ac:dyDescent="0.3">
      <c r="H996" s="31"/>
      <c r="I996" s="31"/>
      <c r="J996" s="31"/>
      <c r="K996" s="31"/>
      <c r="L996" s="31"/>
      <c r="M996" s="31"/>
    </row>
    <row r="997" spans="8:13" ht="15.75" customHeight="1" x14ac:dyDescent="0.3">
      <c r="H997" s="31"/>
      <c r="I997" s="31"/>
      <c r="J997" s="31"/>
      <c r="K997" s="31"/>
      <c r="L997" s="31"/>
      <c r="M997" s="31"/>
    </row>
    <row r="998" spans="8:13" ht="15.75" customHeight="1" x14ac:dyDescent="0.3">
      <c r="H998" s="31"/>
      <c r="I998" s="31"/>
      <c r="J998" s="31"/>
      <c r="K998" s="31"/>
      <c r="L998" s="31"/>
      <c r="M998" s="31"/>
    </row>
    <row r="999" spans="8:13" ht="15.75" customHeight="1" x14ac:dyDescent="0.3">
      <c r="H999" s="31"/>
      <c r="I999" s="31"/>
      <c r="J999" s="31"/>
      <c r="K999" s="31"/>
      <c r="L999" s="31"/>
      <c r="M999" s="31"/>
    </row>
    <row r="1000" spans="8:13" ht="15.75" customHeight="1" x14ac:dyDescent="0.3">
      <c r="H1000" s="31"/>
      <c r="I1000" s="31"/>
      <c r="J1000" s="31"/>
      <c r="K1000" s="31"/>
      <c r="L1000" s="31"/>
      <c r="M1000" s="31"/>
    </row>
  </sheetData>
  <mergeCells count="3">
    <mergeCell ref="D1:F1"/>
    <mergeCell ref="K1:L1"/>
    <mergeCell ref="H1:I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showGridLines="0" topLeftCell="D1" workbookViewId="0">
      <selection activeCell="C1" sqref="C1"/>
    </sheetView>
  </sheetViews>
  <sheetFormatPr defaultColWidth="14.44140625" defaultRowHeight="15" customHeight="1" x14ac:dyDescent="0.3"/>
  <cols>
    <col min="1" max="1" width="6" customWidth="1"/>
    <col min="2" max="2" width="50" customWidth="1"/>
    <col min="3" max="3" width="12.5546875" customWidth="1"/>
    <col min="4" max="4" width="18.109375" customWidth="1"/>
    <col min="5" max="5" width="20.44140625" customWidth="1"/>
    <col min="6" max="6" width="12" customWidth="1"/>
    <col min="7" max="7" width="29" customWidth="1"/>
    <col min="8" max="13" width="14" customWidth="1"/>
  </cols>
  <sheetData>
    <row r="1" spans="1:13" ht="28.2" x14ac:dyDescent="0.3">
      <c r="A1" s="50" t="s">
        <v>8</v>
      </c>
      <c r="B1" s="51" t="s">
        <v>0</v>
      </c>
      <c r="C1" s="52" t="s">
        <v>1</v>
      </c>
      <c r="D1" s="180" t="s">
        <v>2</v>
      </c>
      <c r="E1" s="176"/>
      <c r="F1" s="177"/>
      <c r="G1" s="51" t="s">
        <v>175</v>
      </c>
      <c r="H1" s="179" t="s">
        <v>4</v>
      </c>
      <c r="I1" s="177"/>
      <c r="J1" s="5" t="s">
        <v>5</v>
      </c>
      <c r="K1" s="178" t="s">
        <v>6</v>
      </c>
      <c r="L1" s="177"/>
      <c r="M1" s="6" t="s">
        <v>7</v>
      </c>
    </row>
    <row r="2" spans="1:13" ht="34.200000000000003" x14ac:dyDescent="0.3">
      <c r="A2" s="53"/>
      <c r="B2" s="53"/>
      <c r="C2" s="53"/>
      <c r="D2" s="54" t="s">
        <v>9</v>
      </c>
      <c r="E2" s="55" t="s">
        <v>10</v>
      </c>
      <c r="F2" s="55" t="s">
        <v>11</v>
      </c>
      <c r="G2" s="51"/>
      <c r="H2" s="9" t="s">
        <v>12</v>
      </c>
      <c r="I2" s="9" t="s">
        <v>13</v>
      </c>
      <c r="J2" s="142" t="s">
        <v>14</v>
      </c>
      <c r="K2" s="11" t="s">
        <v>176</v>
      </c>
      <c r="L2" s="11" t="s">
        <v>177</v>
      </c>
      <c r="M2" s="12" t="s">
        <v>17</v>
      </c>
    </row>
    <row r="3" spans="1:13" ht="14.4" x14ac:dyDescent="0.3">
      <c r="A3" s="14">
        <v>1</v>
      </c>
      <c r="B3" s="14" t="s">
        <v>42</v>
      </c>
      <c r="C3" s="56">
        <v>720</v>
      </c>
      <c r="D3" s="56">
        <v>5</v>
      </c>
      <c r="E3" s="57">
        <v>5</v>
      </c>
      <c r="F3" s="56">
        <v>5</v>
      </c>
      <c r="G3" s="25" t="s">
        <v>19</v>
      </c>
      <c r="H3" s="17">
        <v>1.444</v>
      </c>
      <c r="I3" s="17">
        <v>1.34</v>
      </c>
      <c r="J3" s="17">
        <v>2.73</v>
      </c>
      <c r="K3" s="18">
        <v>13.2</v>
      </c>
      <c r="L3" s="18">
        <v>35.6</v>
      </c>
      <c r="M3" s="18">
        <v>6</v>
      </c>
    </row>
    <row r="4" spans="1:13" ht="14.4" x14ac:dyDescent="0.3">
      <c r="A4" s="14">
        <v>2</v>
      </c>
      <c r="B4" s="14" t="s">
        <v>178</v>
      </c>
      <c r="C4" s="56">
        <v>108</v>
      </c>
      <c r="D4" s="56">
        <v>4</v>
      </c>
      <c r="E4" s="56">
        <v>4</v>
      </c>
      <c r="F4" s="56">
        <v>5</v>
      </c>
      <c r="G4" s="25" t="s">
        <v>19</v>
      </c>
      <c r="H4" s="17">
        <v>0.98699999999999999</v>
      </c>
      <c r="I4" s="17">
        <v>0.8</v>
      </c>
      <c r="J4" s="17">
        <v>3.13</v>
      </c>
      <c r="K4" s="18">
        <v>19.2</v>
      </c>
      <c r="L4" s="18">
        <v>32.799999999999997</v>
      </c>
      <c r="M4" s="18">
        <v>5</v>
      </c>
    </row>
    <row r="5" spans="1:13" ht="14.4" x14ac:dyDescent="0.3">
      <c r="A5" s="14">
        <v>3</v>
      </c>
      <c r="B5" s="14" t="s">
        <v>18</v>
      </c>
      <c r="C5" s="57">
        <v>362</v>
      </c>
      <c r="D5" s="57">
        <v>4</v>
      </c>
      <c r="E5" s="57">
        <v>4</v>
      </c>
      <c r="F5" s="56">
        <v>5</v>
      </c>
      <c r="G5" s="25" t="s">
        <v>19</v>
      </c>
      <c r="H5" s="17">
        <v>1.1850000000000001</v>
      </c>
      <c r="I5" s="17">
        <v>0.99</v>
      </c>
      <c r="J5" s="17">
        <v>4.93</v>
      </c>
      <c r="K5" s="18">
        <v>13.7</v>
      </c>
      <c r="L5" s="18">
        <v>32.200000000000003</v>
      </c>
      <c r="M5" s="18">
        <v>5</v>
      </c>
    </row>
    <row r="6" spans="1:13" ht="14.4" x14ac:dyDescent="0.3">
      <c r="A6" s="26">
        <v>4</v>
      </c>
      <c r="B6" s="26" t="s">
        <v>179</v>
      </c>
      <c r="C6" s="58">
        <v>209</v>
      </c>
      <c r="D6" s="21" t="s">
        <v>24</v>
      </c>
      <c r="E6" s="21" t="s">
        <v>24</v>
      </c>
      <c r="F6" s="58">
        <v>5</v>
      </c>
      <c r="G6" s="20" t="s">
        <v>25</v>
      </c>
      <c r="H6" s="21"/>
      <c r="I6" s="22">
        <v>2.14</v>
      </c>
      <c r="J6" s="22">
        <v>4.8</v>
      </c>
      <c r="K6" s="23">
        <v>15.7</v>
      </c>
      <c r="L6" s="23">
        <v>38.799999999999997</v>
      </c>
      <c r="M6" s="23">
        <v>3</v>
      </c>
    </row>
    <row r="7" spans="1:13" ht="14.4" x14ac:dyDescent="0.3">
      <c r="A7" s="26">
        <v>5</v>
      </c>
      <c r="B7" s="26" t="s">
        <v>180</v>
      </c>
      <c r="C7" s="58">
        <v>283</v>
      </c>
      <c r="D7" s="21" t="s">
        <v>24</v>
      </c>
      <c r="E7" s="21" t="s">
        <v>24</v>
      </c>
      <c r="F7" s="58">
        <v>5</v>
      </c>
      <c r="G7" s="20" t="s">
        <v>25</v>
      </c>
      <c r="H7" s="21"/>
      <c r="I7" s="22">
        <v>0.99</v>
      </c>
      <c r="J7" s="22">
        <v>3.19</v>
      </c>
      <c r="K7" s="23">
        <v>19.2</v>
      </c>
      <c r="L7" s="23">
        <v>32.799999999999997</v>
      </c>
      <c r="M7" s="23">
        <v>3</v>
      </c>
    </row>
    <row r="8" spans="1:13" ht="14.4" x14ac:dyDescent="0.3">
      <c r="A8" s="26">
        <v>6</v>
      </c>
      <c r="B8" s="26" t="s">
        <v>181</v>
      </c>
      <c r="C8" s="59">
        <v>375</v>
      </c>
      <c r="D8" s="21" t="s">
        <v>24</v>
      </c>
      <c r="E8" s="21" t="s">
        <v>24</v>
      </c>
      <c r="F8" s="58">
        <v>5</v>
      </c>
      <c r="G8" s="20" t="s">
        <v>25</v>
      </c>
      <c r="H8" s="22">
        <v>1.4159999999999999</v>
      </c>
      <c r="I8" s="22">
        <v>1.8</v>
      </c>
      <c r="J8" s="22">
        <v>4</v>
      </c>
      <c r="K8" s="23">
        <v>12.2</v>
      </c>
      <c r="L8" s="23">
        <v>32.299999999999997</v>
      </c>
      <c r="M8" s="23">
        <v>6</v>
      </c>
    </row>
    <row r="9" spans="1:13" ht="14.4" x14ac:dyDescent="0.3">
      <c r="A9" s="14">
        <v>7</v>
      </c>
      <c r="B9" s="14" t="s">
        <v>54</v>
      </c>
      <c r="C9" s="57">
        <v>369</v>
      </c>
      <c r="D9" s="57">
        <v>5</v>
      </c>
      <c r="E9" s="57">
        <v>4</v>
      </c>
      <c r="F9" s="56">
        <v>5</v>
      </c>
      <c r="G9" s="25" t="s">
        <v>19</v>
      </c>
      <c r="H9" s="17">
        <v>2.7709999999999999</v>
      </c>
      <c r="I9" s="17">
        <v>1.17</v>
      </c>
      <c r="J9" s="17">
        <v>5.04</v>
      </c>
      <c r="K9" s="18">
        <v>38</v>
      </c>
      <c r="L9" s="18">
        <v>29.6</v>
      </c>
      <c r="M9" s="18">
        <v>4</v>
      </c>
    </row>
    <row r="10" spans="1:13" ht="14.4" x14ac:dyDescent="0.3">
      <c r="A10" s="26">
        <v>8</v>
      </c>
      <c r="B10" s="26" t="s">
        <v>109</v>
      </c>
      <c r="C10" s="58">
        <v>164</v>
      </c>
      <c r="D10" s="21" t="s">
        <v>24</v>
      </c>
      <c r="E10" s="21" t="s">
        <v>24</v>
      </c>
      <c r="F10" s="58">
        <v>5</v>
      </c>
      <c r="G10" s="20" t="s">
        <v>25</v>
      </c>
      <c r="H10" s="22">
        <v>1.7889999999999999</v>
      </c>
      <c r="I10" s="22">
        <v>0.86</v>
      </c>
      <c r="J10" s="22">
        <v>6.78</v>
      </c>
      <c r="K10" s="23">
        <v>19.2</v>
      </c>
      <c r="L10" s="23">
        <v>32.799999999999997</v>
      </c>
      <c r="M10" s="23">
        <v>6</v>
      </c>
    </row>
    <row r="11" spans="1:13" ht="14.4" x14ac:dyDescent="0.3">
      <c r="A11" s="14">
        <v>9</v>
      </c>
      <c r="B11" s="14" t="s">
        <v>182</v>
      </c>
      <c r="C11" s="56">
        <v>206</v>
      </c>
      <c r="D11" s="56">
        <v>3</v>
      </c>
      <c r="E11" s="57">
        <v>4</v>
      </c>
      <c r="F11" s="56">
        <v>5</v>
      </c>
      <c r="G11" s="25" t="s">
        <v>19</v>
      </c>
      <c r="H11" s="17">
        <v>0.97599999999999998</v>
      </c>
      <c r="I11" s="17">
        <v>0.66</v>
      </c>
      <c r="J11" s="17">
        <v>2.69</v>
      </c>
      <c r="K11" s="18">
        <v>19.2</v>
      </c>
      <c r="L11" s="18">
        <v>32.799999999999997</v>
      </c>
      <c r="M11" s="18">
        <v>4</v>
      </c>
    </row>
    <row r="12" spans="1:13" ht="14.4" x14ac:dyDescent="0.3">
      <c r="A12" s="26">
        <v>10</v>
      </c>
      <c r="B12" s="26" t="s">
        <v>39</v>
      </c>
      <c r="C12" s="58">
        <v>115</v>
      </c>
      <c r="D12" s="21" t="s">
        <v>24</v>
      </c>
      <c r="E12" s="21" t="s">
        <v>24</v>
      </c>
      <c r="F12" s="58">
        <v>5</v>
      </c>
      <c r="G12" s="20" t="s">
        <v>25</v>
      </c>
      <c r="H12" s="22">
        <v>0.82099999999999995</v>
      </c>
      <c r="I12" s="22">
        <v>1.23</v>
      </c>
      <c r="J12" s="22">
        <v>3.26</v>
      </c>
      <c r="K12" s="23">
        <v>19.2</v>
      </c>
      <c r="L12" s="23">
        <v>32.799999999999997</v>
      </c>
      <c r="M12" s="23">
        <v>4</v>
      </c>
    </row>
    <row r="13" spans="1:13" ht="14.4" x14ac:dyDescent="0.3">
      <c r="A13" s="14">
        <v>11</v>
      </c>
      <c r="B13" s="14" t="s">
        <v>26</v>
      </c>
      <c r="C13" s="56">
        <v>482</v>
      </c>
      <c r="D13" s="56">
        <v>5</v>
      </c>
      <c r="E13" s="57">
        <v>5</v>
      </c>
      <c r="F13" s="56">
        <v>5</v>
      </c>
      <c r="G13" s="25" t="s">
        <v>19</v>
      </c>
      <c r="H13" s="15"/>
      <c r="I13" s="17">
        <v>2.16</v>
      </c>
      <c r="J13" s="17">
        <v>2.65</v>
      </c>
      <c r="K13" s="18">
        <v>13.1</v>
      </c>
      <c r="L13" s="18">
        <v>30.7</v>
      </c>
      <c r="M13" s="18">
        <v>4</v>
      </c>
    </row>
    <row r="14" spans="1:13" ht="14.4" x14ac:dyDescent="0.3">
      <c r="A14" s="26">
        <v>12</v>
      </c>
      <c r="B14" s="26" t="s">
        <v>130</v>
      </c>
      <c r="C14" s="59">
        <v>215</v>
      </c>
      <c r="D14" s="21" t="s">
        <v>24</v>
      </c>
      <c r="E14" s="21" t="s">
        <v>24</v>
      </c>
      <c r="F14" s="58">
        <v>5</v>
      </c>
      <c r="G14" s="20" t="s">
        <v>25</v>
      </c>
      <c r="H14" s="22">
        <v>0.84699999999999998</v>
      </c>
      <c r="I14" s="22">
        <v>0.53</v>
      </c>
      <c r="J14" s="22">
        <v>5.75</v>
      </c>
      <c r="K14" s="23">
        <v>19.2</v>
      </c>
      <c r="L14" s="23">
        <v>32.799999999999997</v>
      </c>
      <c r="M14" s="23">
        <v>5</v>
      </c>
    </row>
    <row r="15" spans="1:13" ht="14.4" x14ac:dyDescent="0.3">
      <c r="A15" s="14">
        <v>13</v>
      </c>
      <c r="B15" s="14" t="s">
        <v>183</v>
      </c>
      <c r="C15" s="57">
        <v>270</v>
      </c>
      <c r="D15" s="57">
        <v>3</v>
      </c>
      <c r="E15" s="56">
        <v>3</v>
      </c>
      <c r="F15" s="56">
        <v>5</v>
      </c>
      <c r="G15" s="25" t="s">
        <v>19</v>
      </c>
      <c r="H15" s="17">
        <v>0.85099999999999998</v>
      </c>
      <c r="I15" s="17">
        <v>0.81</v>
      </c>
      <c r="J15" s="17">
        <v>3.11</v>
      </c>
      <c r="K15" s="18">
        <v>25.2</v>
      </c>
      <c r="L15" s="18">
        <v>25.2</v>
      </c>
      <c r="M15" s="18">
        <v>5</v>
      </c>
    </row>
    <row r="16" spans="1:13" ht="14.4" x14ac:dyDescent="0.3">
      <c r="A16" s="14">
        <v>14</v>
      </c>
      <c r="B16" s="14" t="s">
        <v>184</v>
      </c>
      <c r="C16" s="56">
        <v>321</v>
      </c>
      <c r="D16" s="56">
        <v>5</v>
      </c>
      <c r="E16" s="57">
        <v>5</v>
      </c>
      <c r="F16" s="56">
        <v>5</v>
      </c>
      <c r="G16" s="25" t="s">
        <v>19</v>
      </c>
      <c r="H16" s="17">
        <v>0.88500000000000001</v>
      </c>
      <c r="I16" s="17">
        <v>1.1599999999999999</v>
      </c>
      <c r="J16" s="17">
        <v>4.9400000000000004</v>
      </c>
      <c r="K16" s="18">
        <v>15.9</v>
      </c>
      <c r="L16" s="18">
        <v>29.7</v>
      </c>
      <c r="M16" s="18">
        <v>4</v>
      </c>
    </row>
    <row r="17" spans="1:13" ht="14.4" x14ac:dyDescent="0.3">
      <c r="A17" s="14">
        <v>15</v>
      </c>
      <c r="B17" s="14" t="s">
        <v>185</v>
      </c>
      <c r="C17" s="57">
        <v>221</v>
      </c>
      <c r="D17" s="57">
        <v>4</v>
      </c>
      <c r="E17" s="56">
        <v>4</v>
      </c>
      <c r="F17" s="56">
        <v>5</v>
      </c>
      <c r="G17" s="25" t="s">
        <v>19</v>
      </c>
      <c r="H17" s="17">
        <v>0.66700000000000004</v>
      </c>
      <c r="I17" s="17">
        <v>1.26</v>
      </c>
      <c r="J17" s="17">
        <v>4.67</v>
      </c>
      <c r="K17" s="18">
        <v>19.2</v>
      </c>
      <c r="L17" s="18">
        <v>32.799999999999997</v>
      </c>
      <c r="M17" s="18">
        <v>5</v>
      </c>
    </row>
    <row r="18" spans="1:13" ht="14.4" x14ac:dyDescent="0.3">
      <c r="A18" s="14">
        <v>16</v>
      </c>
      <c r="B18" s="14" t="s">
        <v>135</v>
      </c>
      <c r="C18" s="56">
        <v>126</v>
      </c>
      <c r="D18" s="56">
        <v>5</v>
      </c>
      <c r="E18" s="56">
        <v>5</v>
      </c>
      <c r="F18" s="56">
        <v>5</v>
      </c>
      <c r="G18" s="25" t="s">
        <v>19</v>
      </c>
      <c r="H18" s="17">
        <v>2.5659999999999998</v>
      </c>
      <c r="I18" s="17">
        <v>0.28000000000000003</v>
      </c>
      <c r="J18" s="17">
        <v>3.48</v>
      </c>
      <c r="K18" s="18">
        <v>19.2</v>
      </c>
      <c r="L18" s="18">
        <v>32.799999999999997</v>
      </c>
      <c r="M18" s="18">
        <v>4</v>
      </c>
    </row>
    <row r="19" spans="1:13" ht="14.4" x14ac:dyDescent="0.3">
      <c r="A19" s="14">
        <v>17</v>
      </c>
      <c r="B19" s="14" t="s">
        <v>88</v>
      </c>
      <c r="C19" s="56">
        <v>300</v>
      </c>
      <c r="D19" s="56">
        <v>5</v>
      </c>
      <c r="E19" s="57">
        <v>5</v>
      </c>
      <c r="F19" s="56">
        <v>5</v>
      </c>
      <c r="G19" s="25" t="s">
        <v>19</v>
      </c>
      <c r="H19" s="17">
        <v>0.70099999999999996</v>
      </c>
      <c r="I19" s="17">
        <v>0.53</v>
      </c>
      <c r="J19" s="17">
        <v>2.35</v>
      </c>
      <c r="K19" s="18">
        <v>19.2</v>
      </c>
      <c r="L19" s="18">
        <v>32.799999999999997</v>
      </c>
      <c r="M19" s="18">
        <v>3</v>
      </c>
    </row>
    <row r="20" spans="1:13" ht="14.4" x14ac:dyDescent="0.3">
      <c r="A20" s="14">
        <v>18</v>
      </c>
      <c r="B20" s="14" t="s">
        <v>186</v>
      </c>
      <c r="C20" s="56">
        <v>471</v>
      </c>
      <c r="D20" s="56">
        <v>3</v>
      </c>
      <c r="E20" s="57">
        <v>4</v>
      </c>
      <c r="F20" s="56">
        <v>5</v>
      </c>
      <c r="G20" s="25" t="s">
        <v>19</v>
      </c>
      <c r="H20" s="17">
        <v>0.69599999999999995</v>
      </c>
      <c r="I20" s="17">
        <v>2.12</v>
      </c>
      <c r="J20" s="17">
        <v>3.77</v>
      </c>
      <c r="K20" s="18">
        <v>17</v>
      </c>
      <c r="L20" s="18">
        <v>41.2</v>
      </c>
      <c r="M20" s="18">
        <v>3</v>
      </c>
    </row>
    <row r="21" spans="1:13" ht="15.75" customHeight="1" x14ac:dyDescent="0.3">
      <c r="A21" s="14">
        <v>19</v>
      </c>
      <c r="B21" s="14" t="s">
        <v>187</v>
      </c>
      <c r="C21" s="56">
        <v>240</v>
      </c>
      <c r="D21" s="56">
        <v>3</v>
      </c>
      <c r="E21" s="56">
        <v>3</v>
      </c>
      <c r="F21" s="56">
        <v>5</v>
      </c>
      <c r="G21" s="25" t="s">
        <v>19</v>
      </c>
      <c r="H21" s="17">
        <v>0.68400000000000005</v>
      </c>
      <c r="I21" s="17">
        <v>0.68</v>
      </c>
      <c r="J21" s="17">
        <v>4.1399999999999997</v>
      </c>
      <c r="K21" s="18">
        <v>23.9</v>
      </c>
      <c r="L21" s="18">
        <v>37.6</v>
      </c>
      <c r="M21" s="18">
        <v>5</v>
      </c>
    </row>
    <row r="22" spans="1:13" ht="15.75" customHeight="1" x14ac:dyDescent="0.3">
      <c r="A22" s="14">
        <v>20</v>
      </c>
      <c r="B22" s="14" t="s">
        <v>188</v>
      </c>
      <c r="C22" s="57">
        <v>216</v>
      </c>
      <c r="D22" s="57">
        <v>3</v>
      </c>
      <c r="E22" s="57">
        <v>3</v>
      </c>
      <c r="F22" s="56">
        <v>5</v>
      </c>
      <c r="G22" s="25" t="s">
        <v>19</v>
      </c>
      <c r="H22" s="17">
        <v>0.70899999999999996</v>
      </c>
      <c r="I22" s="17">
        <v>0.44</v>
      </c>
      <c r="J22" s="17">
        <v>6.56</v>
      </c>
      <c r="K22" s="18">
        <v>19.2</v>
      </c>
      <c r="L22" s="18">
        <v>32.799999999999997</v>
      </c>
      <c r="M22" s="18">
        <v>5</v>
      </c>
    </row>
    <row r="23" spans="1:13" ht="15.75" customHeight="1" x14ac:dyDescent="0.3">
      <c r="A23" s="14">
        <v>21</v>
      </c>
      <c r="B23" s="14" t="s">
        <v>189</v>
      </c>
      <c r="C23" s="56">
        <v>771</v>
      </c>
      <c r="D23" s="56">
        <v>4</v>
      </c>
      <c r="E23" s="60">
        <v>4</v>
      </c>
      <c r="F23" s="56">
        <v>5</v>
      </c>
      <c r="G23" s="25" t="s">
        <v>19</v>
      </c>
      <c r="H23" s="17">
        <v>1.3640000000000001</v>
      </c>
      <c r="I23" s="17">
        <v>0.98</v>
      </c>
      <c r="J23" s="17">
        <v>4.63</v>
      </c>
      <c r="K23" s="18">
        <v>50.5</v>
      </c>
      <c r="L23" s="18">
        <v>37.799999999999997</v>
      </c>
      <c r="M23" s="18">
        <v>4</v>
      </c>
    </row>
    <row r="24" spans="1:13" ht="15.75" customHeight="1" x14ac:dyDescent="0.3">
      <c r="A24" s="14">
        <v>22</v>
      </c>
      <c r="B24" s="14" t="s">
        <v>190</v>
      </c>
      <c r="C24" s="57">
        <v>102</v>
      </c>
      <c r="D24" s="57">
        <v>3</v>
      </c>
      <c r="E24" s="56">
        <v>2</v>
      </c>
      <c r="F24" s="56">
        <v>5</v>
      </c>
      <c r="G24" s="25" t="s">
        <v>19</v>
      </c>
      <c r="H24" s="17">
        <v>1.639</v>
      </c>
      <c r="I24" s="17">
        <v>1.1000000000000001</v>
      </c>
      <c r="J24" s="17">
        <v>1.45</v>
      </c>
      <c r="K24" s="18">
        <v>19.2</v>
      </c>
      <c r="L24" s="18">
        <v>32.799999999999997</v>
      </c>
      <c r="M24" s="18">
        <v>3</v>
      </c>
    </row>
    <row r="25" spans="1:13" ht="15.75" customHeight="1" x14ac:dyDescent="0.3">
      <c r="A25" s="26">
        <v>23</v>
      </c>
      <c r="B25" s="26" t="s">
        <v>191</v>
      </c>
      <c r="C25" s="59">
        <v>69</v>
      </c>
      <c r="D25" s="21" t="s">
        <v>24</v>
      </c>
      <c r="E25" s="21" t="s">
        <v>24</v>
      </c>
      <c r="F25" s="58">
        <v>5</v>
      </c>
      <c r="G25" s="20" t="s">
        <v>25</v>
      </c>
      <c r="H25" s="22">
        <v>1.2969999999999999</v>
      </c>
      <c r="I25" s="22">
        <v>0.49</v>
      </c>
      <c r="J25" s="22">
        <v>4.04</v>
      </c>
      <c r="K25" s="23">
        <v>19.2</v>
      </c>
      <c r="L25" s="23">
        <v>32.799999999999997</v>
      </c>
      <c r="M25" s="23">
        <v>5</v>
      </c>
    </row>
    <row r="26" spans="1:13" ht="15.75" customHeight="1" x14ac:dyDescent="0.3">
      <c r="A26" s="14">
        <v>24</v>
      </c>
      <c r="B26" s="14" t="s">
        <v>192</v>
      </c>
      <c r="C26" s="56">
        <v>701</v>
      </c>
      <c r="D26" s="56">
        <v>5</v>
      </c>
      <c r="E26" s="57">
        <v>5</v>
      </c>
      <c r="F26" s="56">
        <v>5</v>
      </c>
      <c r="G26" s="25" t="s">
        <v>19</v>
      </c>
      <c r="H26" s="17">
        <v>1.6639999999999999</v>
      </c>
      <c r="I26" s="17">
        <v>1.62</v>
      </c>
      <c r="J26" s="17">
        <v>7.54</v>
      </c>
      <c r="K26" s="18">
        <v>12</v>
      </c>
      <c r="L26" s="18">
        <v>35.9</v>
      </c>
      <c r="M26" s="18">
        <v>3</v>
      </c>
    </row>
    <row r="27" spans="1:13" ht="15.75" customHeight="1" x14ac:dyDescent="0.3">
      <c r="A27" s="26">
        <v>25</v>
      </c>
      <c r="B27" s="26" t="s">
        <v>193</v>
      </c>
      <c r="C27" s="58">
        <v>49</v>
      </c>
      <c r="D27" s="21" t="s">
        <v>24</v>
      </c>
      <c r="E27" s="21" t="s">
        <v>24</v>
      </c>
      <c r="F27" s="58">
        <v>5</v>
      </c>
      <c r="G27" s="20" t="s">
        <v>25</v>
      </c>
      <c r="H27" s="22">
        <v>3.2879999999999998</v>
      </c>
      <c r="I27" s="22">
        <v>0.73</v>
      </c>
      <c r="J27" s="22">
        <v>1.53</v>
      </c>
      <c r="K27" s="23">
        <v>19.2</v>
      </c>
      <c r="L27" s="23">
        <v>32.799999999999997</v>
      </c>
      <c r="M27" s="23">
        <v>3</v>
      </c>
    </row>
    <row r="28" spans="1:13" ht="15.75" customHeight="1" x14ac:dyDescent="0.3">
      <c r="A28" s="14">
        <v>26</v>
      </c>
      <c r="B28" s="14" t="s">
        <v>82</v>
      </c>
      <c r="C28" s="56">
        <v>696</v>
      </c>
      <c r="D28" s="56">
        <v>5</v>
      </c>
      <c r="E28" s="57">
        <v>5</v>
      </c>
      <c r="F28" s="56">
        <v>5</v>
      </c>
      <c r="G28" s="25" t="s">
        <v>19</v>
      </c>
      <c r="H28" s="17">
        <v>0.70299999999999996</v>
      </c>
      <c r="I28" s="17">
        <v>1.55</v>
      </c>
      <c r="J28" s="17">
        <v>3.42</v>
      </c>
      <c r="K28" s="18">
        <v>15</v>
      </c>
      <c r="L28" s="18">
        <v>32</v>
      </c>
      <c r="M28" s="18">
        <v>3</v>
      </c>
    </row>
    <row r="29" spans="1:13" ht="15.75" customHeight="1" x14ac:dyDescent="0.3">
      <c r="A29" s="14">
        <v>27</v>
      </c>
      <c r="B29" s="14" t="s">
        <v>96</v>
      </c>
      <c r="C29" s="56">
        <v>318</v>
      </c>
      <c r="D29" s="56">
        <v>4</v>
      </c>
      <c r="E29" s="57">
        <v>4</v>
      </c>
      <c r="F29" s="56">
        <v>5</v>
      </c>
      <c r="G29" s="25" t="s">
        <v>19</v>
      </c>
      <c r="H29" s="17">
        <v>1.3580000000000001</v>
      </c>
      <c r="I29" s="17">
        <v>0.89</v>
      </c>
      <c r="J29" s="17">
        <v>4.12</v>
      </c>
      <c r="K29" s="18">
        <v>17.3</v>
      </c>
      <c r="L29" s="18">
        <v>22.6</v>
      </c>
      <c r="M29" s="18">
        <v>4</v>
      </c>
    </row>
    <row r="30" spans="1:13" ht="15.75" customHeight="1" x14ac:dyDescent="0.3">
      <c r="A30" s="14">
        <v>28</v>
      </c>
      <c r="B30" s="14" t="s">
        <v>194</v>
      </c>
      <c r="C30" s="56">
        <v>648</v>
      </c>
      <c r="D30" s="56">
        <v>3</v>
      </c>
      <c r="E30" s="56">
        <v>4</v>
      </c>
      <c r="F30" s="56">
        <v>5</v>
      </c>
      <c r="G30" s="25" t="s">
        <v>19</v>
      </c>
      <c r="H30" s="17">
        <v>0.755</v>
      </c>
      <c r="I30" s="17">
        <v>1.1100000000000001</v>
      </c>
      <c r="J30" s="17">
        <v>3.99</v>
      </c>
      <c r="K30" s="18">
        <v>28.5</v>
      </c>
      <c r="L30" s="18">
        <v>30</v>
      </c>
      <c r="M30" s="18">
        <v>3</v>
      </c>
    </row>
    <row r="31" spans="1:13" ht="15.75" customHeight="1" x14ac:dyDescent="0.3">
      <c r="A31" s="26">
        <v>29</v>
      </c>
      <c r="B31" s="26" t="s">
        <v>72</v>
      </c>
      <c r="C31" s="58">
        <v>588</v>
      </c>
      <c r="D31" s="21" t="s">
        <v>24</v>
      </c>
      <c r="E31" s="21" t="s">
        <v>24</v>
      </c>
      <c r="F31" s="58">
        <v>4</v>
      </c>
      <c r="G31" s="20" t="s">
        <v>25</v>
      </c>
      <c r="H31" s="22">
        <v>1.5169999999999999</v>
      </c>
      <c r="I31" s="22">
        <v>1.07</v>
      </c>
      <c r="J31" s="22">
        <v>5.91</v>
      </c>
      <c r="K31" s="23">
        <v>19.100000000000001</v>
      </c>
      <c r="L31" s="23">
        <v>42.3</v>
      </c>
      <c r="M31" s="23">
        <v>5</v>
      </c>
    </row>
    <row r="32" spans="1:13" ht="15.75" customHeight="1" x14ac:dyDescent="0.3">
      <c r="A32" s="14">
        <v>30</v>
      </c>
      <c r="B32" s="14" t="s">
        <v>76</v>
      </c>
      <c r="C32" s="56">
        <v>675</v>
      </c>
      <c r="D32" s="56">
        <v>3</v>
      </c>
      <c r="E32" s="57">
        <v>3</v>
      </c>
      <c r="F32" s="56">
        <v>4</v>
      </c>
      <c r="G32" s="25" t="s">
        <v>19</v>
      </c>
      <c r="H32" s="17">
        <v>0.81</v>
      </c>
      <c r="I32" s="17">
        <v>1.3</v>
      </c>
      <c r="J32" s="17">
        <v>5.91</v>
      </c>
      <c r="K32" s="18">
        <v>22.1</v>
      </c>
      <c r="L32" s="18">
        <v>31</v>
      </c>
      <c r="M32" s="18">
        <v>5</v>
      </c>
    </row>
    <row r="33" spans="1:13" ht="15.75" customHeight="1" x14ac:dyDescent="0.3">
      <c r="A33" s="26">
        <v>31</v>
      </c>
      <c r="B33" s="26" t="s">
        <v>91</v>
      </c>
      <c r="C33" s="59">
        <v>358</v>
      </c>
      <c r="D33" s="21" t="s">
        <v>24</v>
      </c>
      <c r="E33" s="21" t="s">
        <v>24</v>
      </c>
      <c r="F33" s="58">
        <v>4</v>
      </c>
      <c r="G33" s="20" t="s">
        <v>25</v>
      </c>
      <c r="H33" s="22">
        <v>0.77600000000000002</v>
      </c>
      <c r="I33" s="22">
        <v>0.82</v>
      </c>
      <c r="J33" s="22">
        <v>5.27</v>
      </c>
      <c r="K33" s="23">
        <v>18</v>
      </c>
      <c r="L33" s="23">
        <v>30.1</v>
      </c>
      <c r="M33" s="23">
        <v>5</v>
      </c>
    </row>
    <row r="34" spans="1:13" ht="15.75" customHeight="1" x14ac:dyDescent="0.3">
      <c r="A34" s="14">
        <v>32</v>
      </c>
      <c r="B34" s="14" t="s">
        <v>195</v>
      </c>
      <c r="C34" s="57">
        <v>144</v>
      </c>
      <c r="D34" s="57">
        <v>4</v>
      </c>
      <c r="E34" s="56">
        <v>3</v>
      </c>
      <c r="F34" s="56">
        <v>4</v>
      </c>
      <c r="G34" s="25" t="s">
        <v>19</v>
      </c>
      <c r="H34" s="17">
        <v>1.151</v>
      </c>
      <c r="I34" s="17">
        <v>0.68</v>
      </c>
      <c r="J34" s="17">
        <v>5.6</v>
      </c>
      <c r="K34" s="18">
        <v>19.2</v>
      </c>
      <c r="L34" s="18">
        <v>32.799999999999997</v>
      </c>
      <c r="M34" s="18">
        <v>4</v>
      </c>
    </row>
    <row r="35" spans="1:13" ht="15.75" customHeight="1" x14ac:dyDescent="0.3">
      <c r="A35" s="26">
        <v>33</v>
      </c>
      <c r="B35" s="26" t="s">
        <v>131</v>
      </c>
      <c r="C35" s="58">
        <v>169</v>
      </c>
      <c r="D35" s="21" t="s">
        <v>24</v>
      </c>
      <c r="E35" s="21" t="s">
        <v>24</v>
      </c>
      <c r="F35" s="58">
        <v>4</v>
      </c>
      <c r="G35" s="20" t="s">
        <v>25</v>
      </c>
      <c r="H35" s="22">
        <v>0.93600000000000005</v>
      </c>
      <c r="I35" s="22">
        <v>0.73</v>
      </c>
      <c r="J35" s="22">
        <v>3.6</v>
      </c>
      <c r="K35" s="23">
        <v>19.2</v>
      </c>
      <c r="L35" s="23">
        <v>32.799999999999997</v>
      </c>
      <c r="M35" s="23">
        <v>4</v>
      </c>
    </row>
    <row r="36" spans="1:13" ht="15.75" customHeight="1" x14ac:dyDescent="0.3">
      <c r="A36" s="26">
        <v>34</v>
      </c>
      <c r="B36" s="26" t="s">
        <v>41</v>
      </c>
      <c r="C36" s="59">
        <v>361</v>
      </c>
      <c r="D36" s="21" t="s">
        <v>24</v>
      </c>
      <c r="E36" s="21" t="s">
        <v>24</v>
      </c>
      <c r="F36" s="58">
        <v>4</v>
      </c>
      <c r="G36" s="20" t="s">
        <v>25</v>
      </c>
      <c r="H36" s="22">
        <v>1.7769999999999999</v>
      </c>
      <c r="I36" s="22">
        <v>1.25</v>
      </c>
      <c r="J36" s="22">
        <v>3.75</v>
      </c>
      <c r="K36" s="23">
        <v>21.3</v>
      </c>
      <c r="L36" s="23">
        <v>37.4</v>
      </c>
      <c r="M36" s="23">
        <v>3</v>
      </c>
    </row>
    <row r="37" spans="1:13" ht="15.75" customHeight="1" x14ac:dyDescent="0.3">
      <c r="A37" s="14">
        <v>35</v>
      </c>
      <c r="B37" s="14" t="s">
        <v>196</v>
      </c>
      <c r="C37" s="57">
        <v>126</v>
      </c>
      <c r="D37" s="57">
        <v>3</v>
      </c>
      <c r="E37" s="56">
        <v>3</v>
      </c>
      <c r="F37" s="56">
        <v>4</v>
      </c>
      <c r="G37" s="25" t="s">
        <v>19</v>
      </c>
      <c r="H37" s="17">
        <v>1.1930000000000001</v>
      </c>
      <c r="I37" s="17">
        <v>0.55000000000000004</v>
      </c>
      <c r="J37" s="17">
        <v>3.6</v>
      </c>
      <c r="K37" s="18">
        <v>19.2</v>
      </c>
      <c r="L37" s="18">
        <v>32.799999999999997</v>
      </c>
      <c r="M37" s="18">
        <v>5</v>
      </c>
    </row>
    <row r="38" spans="1:13" ht="15.75" customHeight="1" x14ac:dyDescent="0.3">
      <c r="A38" s="26">
        <v>36</v>
      </c>
      <c r="B38" s="26" t="s">
        <v>197</v>
      </c>
      <c r="C38" s="58">
        <v>409</v>
      </c>
      <c r="D38" s="21" t="s">
        <v>24</v>
      </c>
      <c r="E38" s="21" t="s">
        <v>24</v>
      </c>
      <c r="F38" s="58">
        <v>4</v>
      </c>
      <c r="G38" s="20" t="s">
        <v>25</v>
      </c>
      <c r="H38" s="21"/>
      <c r="I38" s="22">
        <v>1.41</v>
      </c>
      <c r="J38" s="22">
        <v>3.14</v>
      </c>
      <c r="K38" s="23">
        <v>18.399999999999999</v>
      </c>
      <c r="L38" s="23">
        <v>55.2</v>
      </c>
      <c r="M38" s="23">
        <v>5</v>
      </c>
    </row>
    <row r="39" spans="1:13" ht="15.75" customHeight="1" x14ac:dyDescent="0.3">
      <c r="A39" s="26">
        <v>37</v>
      </c>
      <c r="B39" s="26" t="s">
        <v>198</v>
      </c>
      <c r="C39" s="59">
        <v>130</v>
      </c>
      <c r="D39" s="21" t="s">
        <v>24</v>
      </c>
      <c r="E39" s="21" t="s">
        <v>24</v>
      </c>
      <c r="F39" s="58">
        <v>4</v>
      </c>
      <c r="G39" s="20" t="s">
        <v>25</v>
      </c>
      <c r="H39" s="22">
        <v>0.91</v>
      </c>
      <c r="I39" s="22">
        <v>0.65</v>
      </c>
      <c r="J39" s="22">
        <v>4.71</v>
      </c>
      <c r="K39" s="23">
        <v>19.2</v>
      </c>
      <c r="L39" s="23">
        <v>32.799999999999997</v>
      </c>
      <c r="M39" s="23">
        <v>5</v>
      </c>
    </row>
    <row r="40" spans="1:13" ht="15.75" customHeight="1" x14ac:dyDescent="0.3">
      <c r="A40" s="26">
        <v>38</v>
      </c>
      <c r="B40" s="26" t="s">
        <v>83</v>
      </c>
      <c r="C40" s="58">
        <v>427</v>
      </c>
      <c r="D40" s="21" t="s">
        <v>24</v>
      </c>
      <c r="E40" s="21" t="s">
        <v>24</v>
      </c>
      <c r="F40" s="58">
        <v>4</v>
      </c>
      <c r="G40" s="20" t="s">
        <v>25</v>
      </c>
      <c r="H40" s="22">
        <v>1.766</v>
      </c>
      <c r="I40" s="22">
        <v>1.41</v>
      </c>
      <c r="J40" s="22">
        <v>5.48</v>
      </c>
      <c r="K40" s="23">
        <v>20.9</v>
      </c>
      <c r="L40" s="23">
        <v>39.9</v>
      </c>
      <c r="M40" s="23">
        <v>6</v>
      </c>
    </row>
    <row r="41" spans="1:13" ht="15.75" customHeight="1" x14ac:dyDescent="0.3">
      <c r="A41" s="26">
        <v>39</v>
      </c>
      <c r="B41" s="26" t="s">
        <v>199</v>
      </c>
      <c r="C41" s="58">
        <v>139</v>
      </c>
      <c r="D41" s="21" t="s">
        <v>24</v>
      </c>
      <c r="E41" s="21" t="s">
        <v>24</v>
      </c>
      <c r="F41" s="58">
        <v>4</v>
      </c>
      <c r="G41" s="20" t="s">
        <v>25</v>
      </c>
      <c r="H41" s="22">
        <v>1.464</v>
      </c>
      <c r="I41" s="22">
        <v>0.67</v>
      </c>
      <c r="J41" s="22">
        <v>4.1500000000000004</v>
      </c>
      <c r="K41" s="23">
        <v>19.2</v>
      </c>
      <c r="L41" s="23">
        <v>32.799999999999997</v>
      </c>
      <c r="M41" s="23">
        <v>4</v>
      </c>
    </row>
    <row r="42" spans="1:13" ht="15.75" customHeight="1" x14ac:dyDescent="0.3">
      <c r="A42" s="26">
        <v>40</v>
      </c>
      <c r="B42" s="26" t="s">
        <v>200</v>
      </c>
      <c r="C42" s="58">
        <v>182</v>
      </c>
      <c r="D42" s="21" t="s">
        <v>24</v>
      </c>
      <c r="E42" s="21" t="s">
        <v>24</v>
      </c>
      <c r="F42" s="58">
        <v>4</v>
      </c>
      <c r="G42" s="20" t="s">
        <v>25</v>
      </c>
      <c r="H42" s="22">
        <v>1.448</v>
      </c>
      <c r="I42" s="22">
        <v>0.59</v>
      </c>
      <c r="J42" s="22">
        <v>4.0999999999999996</v>
      </c>
      <c r="K42" s="23">
        <v>19.2</v>
      </c>
      <c r="L42" s="23">
        <v>32.799999999999997</v>
      </c>
      <c r="M42" s="23">
        <v>2</v>
      </c>
    </row>
    <row r="43" spans="1:13" ht="15.75" customHeight="1" x14ac:dyDescent="0.3">
      <c r="A43" s="26">
        <v>41</v>
      </c>
      <c r="B43" s="26" t="s">
        <v>201</v>
      </c>
      <c r="C43" s="59">
        <v>57</v>
      </c>
      <c r="D43" s="21" t="s">
        <v>24</v>
      </c>
      <c r="E43" s="21" t="s">
        <v>24</v>
      </c>
      <c r="F43" s="58">
        <v>4</v>
      </c>
      <c r="G43" s="20" t="s">
        <v>25</v>
      </c>
      <c r="H43" s="22">
        <v>1.1259999999999999</v>
      </c>
      <c r="I43" s="22">
        <v>0.43</v>
      </c>
      <c r="J43" s="22">
        <v>6.95</v>
      </c>
      <c r="K43" s="23">
        <v>19.2</v>
      </c>
      <c r="L43" s="23">
        <v>32.799999999999997</v>
      </c>
      <c r="M43" s="23">
        <v>5</v>
      </c>
    </row>
    <row r="44" spans="1:13" ht="15.75" customHeight="1" x14ac:dyDescent="0.3">
      <c r="A44" s="26">
        <v>42</v>
      </c>
      <c r="B44" s="26" t="s">
        <v>49</v>
      </c>
      <c r="C44" s="58">
        <v>486</v>
      </c>
      <c r="D44" s="21" t="s">
        <v>24</v>
      </c>
      <c r="E44" s="21" t="s">
        <v>24</v>
      </c>
      <c r="F44" s="58">
        <v>4</v>
      </c>
      <c r="G44" s="20" t="s">
        <v>25</v>
      </c>
      <c r="H44" s="22">
        <v>1.5760000000000001</v>
      </c>
      <c r="I44" s="22">
        <v>1.1100000000000001</v>
      </c>
      <c r="J44" s="22">
        <v>3.78</v>
      </c>
      <c r="K44" s="23">
        <v>10.1</v>
      </c>
      <c r="L44" s="23">
        <v>33.799999999999997</v>
      </c>
      <c r="M44" s="23">
        <v>5</v>
      </c>
    </row>
    <row r="45" spans="1:13" ht="15.75" customHeight="1" x14ac:dyDescent="0.3">
      <c r="A45" s="26">
        <v>43</v>
      </c>
      <c r="B45" s="26" t="s">
        <v>78</v>
      </c>
      <c r="C45" s="59">
        <v>551</v>
      </c>
      <c r="D45" s="21" t="s">
        <v>24</v>
      </c>
      <c r="E45" s="21" t="s">
        <v>24</v>
      </c>
      <c r="F45" s="58">
        <v>4</v>
      </c>
      <c r="G45" s="20" t="s">
        <v>25</v>
      </c>
      <c r="H45" s="21"/>
      <c r="I45" s="22">
        <v>1.1499999999999999</v>
      </c>
      <c r="J45" s="22">
        <v>4.03</v>
      </c>
      <c r="K45" s="23">
        <v>16.7</v>
      </c>
      <c r="L45" s="23">
        <v>35.9</v>
      </c>
      <c r="M45" s="23">
        <v>3</v>
      </c>
    </row>
    <row r="46" spans="1:13" ht="15.75" customHeight="1" x14ac:dyDescent="0.3">
      <c r="A46" s="14">
        <v>44</v>
      </c>
      <c r="B46" s="14" t="s">
        <v>202</v>
      </c>
      <c r="C46" s="56">
        <v>441</v>
      </c>
      <c r="D46" s="56">
        <v>3</v>
      </c>
      <c r="E46" s="57">
        <v>4</v>
      </c>
      <c r="F46" s="56">
        <v>4</v>
      </c>
      <c r="G46" s="25" t="s">
        <v>19</v>
      </c>
      <c r="H46" s="15"/>
      <c r="I46" s="17">
        <v>5.0999999999999996</v>
      </c>
      <c r="J46" s="17">
        <v>2.66</v>
      </c>
      <c r="K46" s="18">
        <v>15.3</v>
      </c>
      <c r="L46" s="18">
        <v>36.1</v>
      </c>
      <c r="M46" s="18">
        <v>4</v>
      </c>
    </row>
    <row r="47" spans="1:13" ht="15.75" customHeight="1" x14ac:dyDescent="0.3">
      <c r="A47" s="14">
        <v>45</v>
      </c>
      <c r="B47" s="14" t="s">
        <v>203</v>
      </c>
      <c r="C47" s="56">
        <v>344</v>
      </c>
      <c r="D47" s="56">
        <v>3</v>
      </c>
      <c r="E47" s="56">
        <v>3</v>
      </c>
      <c r="F47" s="56">
        <v>4</v>
      </c>
      <c r="G47" s="25" t="s">
        <v>19</v>
      </c>
      <c r="H47" s="17">
        <v>0.72299999999999998</v>
      </c>
      <c r="I47" s="17">
        <v>0.73</v>
      </c>
      <c r="J47" s="17">
        <v>7.22</v>
      </c>
      <c r="K47" s="18">
        <v>23.6</v>
      </c>
      <c r="L47" s="18">
        <v>36</v>
      </c>
      <c r="M47" s="18">
        <v>4</v>
      </c>
    </row>
    <row r="48" spans="1:13" ht="15.75" customHeight="1" x14ac:dyDescent="0.3">
      <c r="A48" s="14">
        <v>46</v>
      </c>
      <c r="B48" s="14" t="s">
        <v>204</v>
      </c>
      <c r="C48" s="56">
        <v>357</v>
      </c>
      <c r="D48" s="56">
        <v>3</v>
      </c>
      <c r="E48" s="57">
        <v>3</v>
      </c>
      <c r="F48" s="56">
        <v>4</v>
      </c>
      <c r="G48" s="25" t="s">
        <v>19</v>
      </c>
      <c r="H48" s="17">
        <v>1.1779999999999999</v>
      </c>
      <c r="I48" s="17">
        <v>1.27</v>
      </c>
      <c r="J48" s="17">
        <v>4.74</v>
      </c>
      <c r="K48" s="18">
        <v>19.7</v>
      </c>
      <c r="L48" s="18">
        <v>29.3</v>
      </c>
      <c r="M48" s="18">
        <v>3</v>
      </c>
    </row>
    <row r="49" spans="1:13" ht="15.75" customHeight="1" x14ac:dyDescent="0.3">
      <c r="A49" s="26">
        <v>47</v>
      </c>
      <c r="B49" s="26" t="s">
        <v>205</v>
      </c>
      <c r="C49" s="58">
        <v>279</v>
      </c>
      <c r="D49" s="21" t="s">
        <v>24</v>
      </c>
      <c r="E49" s="21" t="s">
        <v>24</v>
      </c>
      <c r="F49" s="58">
        <v>4</v>
      </c>
      <c r="G49" s="20" t="s">
        <v>25</v>
      </c>
      <c r="H49" s="22">
        <v>1.054</v>
      </c>
      <c r="I49" s="22">
        <v>1.24</v>
      </c>
      <c r="J49" s="22">
        <v>4.5</v>
      </c>
      <c r="K49" s="23">
        <v>38.5</v>
      </c>
      <c r="L49" s="23">
        <v>34.6</v>
      </c>
      <c r="M49" s="23">
        <v>4</v>
      </c>
    </row>
    <row r="50" spans="1:13" ht="15.75" customHeight="1" x14ac:dyDescent="0.3">
      <c r="A50" s="14">
        <v>48</v>
      </c>
      <c r="B50" s="14" t="s">
        <v>206</v>
      </c>
      <c r="C50" s="56">
        <v>312</v>
      </c>
      <c r="D50" s="56">
        <v>3</v>
      </c>
      <c r="E50" s="57">
        <v>3</v>
      </c>
      <c r="F50" s="56">
        <v>4</v>
      </c>
      <c r="G50" s="25" t="s">
        <v>19</v>
      </c>
      <c r="H50" s="17">
        <v>1.2669999999999999</v>
      </c>
      <c r="I50" s="17">
        <v>1.08</v>
      </c>
      <c r="J50" s="17">
        <v>5.37</v>
      </c>
      <c r="K50" s="18">
        <v>14.6</v>
      </c>
      <c r="L50" s="18">
        <v>27.7</v>
      </c>
      <c r="M50" s="18">
        <v>3</v>
      </c>
    </row>
    <row r="51" spans="1:13" ht="15.75" customHeight="1" x14ac:dyDescent="0.3">
      <c r="A51" s="14">
        <v>49</v>
      </c>
      <c r="B51" s="14" t="s">
        <v>207</v>
      </c>
      <c r="C51" s="56">
        <v>154</v>
      </c>
      <c r="D51" s="56">
        <v>4</v>
      </c>
      <c r="E51" s="56">
        <v>4</v>
      </c>
      <c r="F51" s="56">
        <v>4</v>
      </c>
      <c r="G51" s="25" t="s">
        <v>19</v>
      </c>
      <c r="H51" s="17">
        <v>1.7310000000000001</v>
      </c>
      <c r="I51" s="17">
        <v>0.67</v>
      </c>
      <c r="J51" s="17">
        <v>5.18</v>
      </c>
      <c r="K51" s="18">
        <v>19.2</v>
      </c>
      <c r="L51" s="18">
        <v>32.799999999999997</v>
      </c>
      <c r="M51" s="18">
        <v>4</v>
      </c>
    </row>
    <row r="52" spans="1:13" ht="15.75" customHeight="1" x14ac:dyDescent="0.3">
      <c r="A52" s="14">
        <v>50</v>
      </c>
      <c r="B52" s="14" t="s">
        <v>208</v>
      </c>
      <c r="C52" s="57">
        <v>330</v>
      </c>
      <c r="D52" s="57">
        <v>4</v>
      </c>
      <c r="E52" s="57">
        <v>4</v>
      </c>
      <c r="F52" s="56">
        <v>4</v>
      </c>
      <c r="G52" s="25" t="s">
        <v>19</v>
      </c>
      <c r="H52" s="17">
        <v>0.71899999999999997</v>
      </c>
      <c r="I52" s="17">
        <v>1.06</v>
      </c>
      <c r="J52" s="17">
        <v>2.75</v>
      </c>
      <c r="K52" s="18">
        <v>16.7</v>
      </c>
      <c r="L52" s="18">
        <v>34</v>
      </c>
      <c r="M52" s="18">
        <v>3</v>
      </c>
    </row>
    <row r="53" spans="1:13" ht="15.75" customHeight="1" x14ac:dyDescent="0.3">
      <c r="A53" s="14">
        <v>51</v>
      </c>
      <c r="B53" s="14" t="s">
        <v>104</v>
      </c>
      <c r="C53" s="56">
        <v>440</v>
      </c>
      <c r="D53" s="56">
        <v>4</v>
      </c>
      <c r="E53" s="57">
        <v>4</v>
      </c>
      <c r="F53" s="56">
        <v>4</v>
      </c>
      <c r="G53" s="25" t="s">
        <v>19</v>
      </c>
      <c r="H53" s="15"/>
      <c r="I53" s="17">
        <v>0.67</v>
      </c>
      <c r="J53" s="17">
        <v>4.92</v>
      </c>
      <c r="K53" s="18">
        <v>26.8</v>
      </c>
      <c r="L53" s="18">
        <v>27.4</v>
      </c>
      <c r="M53" s="18">
        <v>6</v>
      </c>
    </row>
    <row r="54" spans="1:13" ht="15.75" customHeight="1" x14ac:dyDescent="0.3">
      <c r="A54" s="26">
        <v>52</v>
      </c>
      <c r="B54" s="26" t="s">
        <v>209</v>
      </c>
      <c r="C54" s="58">
        <v>96</v>
      </c>
      <c r="D54" s="21" t="s">
        <v>24</v>
      </c>
      <c r="E54" s="21" t="s">
        <v>24</v>
      </c>
      <c r="F54" s="58">
        <v>4</v>
      </c>
      <c r="G54" s="20" t="s">
        <v>25</v>
      </c>
      <c r="H54" s="22">
        <v>0.79400000000000004</v>
      </c>
      <c r="I54" s="22">
        <v>2.98</v>
      </c>
      <c r="J54" s="22">
        <v>4.16</v>
      </c>
      <c r="K54" s="23">
        <v>19.2</v>
      </c>
      <c r="L54" s="23">
        <v>32.799999999999997</v>
      </c>
      <c r="M54" s="23">
        <v>4</v>
      </c>
    </row>
    <row r="55" spans="1:13" ht="15.75" customHeight="1" x14ac:dyDescent="0.3">
      <c r="A55" s="26">
        <v>53</v>
      </c>
      <c r="B55" s="26" t="s">
        <v>52</v>
      </c>
      <c r="C55" s="58">
        <v>430</v>
      </c>
      <c r="D55" s="21" t="s">
        <v>24</v>
      </c>
      <c r="E55" s="21" t="s">
        <v>24</v>
      </c>
      <c r="F55" s="58">
        <v>4</v>
      </c>
      <c r="G55" s="20" t="s">
        <v>25</v>
      </c>
      <c r="H55" s="22">
        <v>1.1439999999999999</v>
      </c>
      <c r="I55" s="22">
        <v>0.89</v>
      </c>
      <c r="J55" s="22">
        <v>4.49</v>
      </c>
      <c r="K55" s="23">
        <v>25.2</v>
      </c>
      <c r="L55" s="23">
        <v>36</v>
      </c>
      <c r="M55" s="23">
        <v>4</v>
      </c>
    </row>
    <row r="56" spans="1:13" ht="15.75" customHeight="1" x14ac:dyDescent="0.3">
      <c r="A56" s="14">
        <v>54</v>
      </c>
      <c r="B56" s="14" t="s">
        <v>210</v>
      </c>
      <c r="C56" s="57">
        <v>144</v>
      </c>
      <c r="D56" s="57">
        <v>5</v>
      </c>
      <c r="E56" s="56">
        <v>5</v>
      </c>
      <c r="F56" s="56">
        <v>4</v>
      </c>
      <c r="G56" s="25" t="s">
        <v>19</v>
      </c>
      <c r="H56" s="17">
        <v>0.75800000000000001</v>
      </c>
      <c r="I56" s="17">
        <v>0.35</v>
      </c>
      <c r="J56" s="17">
        <v>5.58</v>
      </c>
      <c r="K56" s="18">
        <v>19.2</v>
      </c>
      <c r="L56" s="18">
        <v>32.799999999999997</v>
      </c>
      <c r="M56" s="18">
        <v>9</v>
      </c>
    </row>
    <row r="57" spans="1:13" ht="15.75" customHeight="1" x14ac:dyDescent="0.3">
      <c r="A57" s="26">
        <v>55</v>
      </c>
      <c r="B57" s="26" t="s">
        <v>211</v>
      </c>
      <c r="C57" s="58">
        <v>184</v>
      </c>
      <c r="D57" s="21" t="s">
        <v>24</v>
      </c>
      <c r="E57" s="21" t="s">
        <v>24</v>
      </c>
      <c r="F57" s="58">
        <v>4</v>
      </c>
      <c r="G57" s="20" t="s">
        <v>25</v>
      </c>
      <c r="H57" s="22">
        <v>0.69599999999999995</v>
      </c>
      <c r="I57" s="22">
        <v>0.65</v>
      </c>
      <c r="J57" s="22">
        <v>2.38</v>
      </c>
      <c r="K57" s="23">
        <v>19.2</v>
      </c>
      <c r="L57" s="23">
        <v>32.799999999999997</v>
      </c>
      <c r="M57" s="23">
        <v>4</v>
      </c>
    </row>
    <row r="58" spans="1:13" ht="15.75" customHeight="1" x14ac:dyDescent="0.3">
      <c r="A58" s="26">
        <v>56</v>
      </c>
      <c r="B58" s="26" t="s">
        <v>212</v>
      </c>
      <c r="C58" s="58">
        <v>240</v>
      </c>
      <c r="D58" s="21" t="s">
        <v>24</v>
      </c>
      <c r="E58" s="21" t="s">
        <v>24</v>
      </c>
      <c r="F58" s="58">
        <v>4</v>
      </c>
      <c r="G58" s="20" t="s">
        <v>25</v>
      </c>
      <c r="H58" s="22">
        <v>0.90300000000000002</v>
      </c>
      <c r="I58" s="22">
        <v>1.23</v>
      </c>
      <c r="J58" s="22">
        <v>3.11</v>
      </c>
      <c r="K58" s="23">
        <v>19.2</v>
      </c>
      <c r="L58" s="23">
        <v>32.799999999999997</v>
      </c>
      <c r="M58" s="23">
        <v>5</v>
      </c>
    </row>
    <row r="59" spans="1:13" ht="15.75" customHeight="1" x14ac:dyDescent="0.3">
      <c r="A59" s="14">
        <v>57</v>
      </c>
      <c r="B59" s="14" t="s">
        <v>213</v>
      </c>
      <c r="C59" s="57">
        <v>269</v>
      </c>
      <c r="D59" s="57">
        <v>3</v>
      </c>
      <c r="E59" s="57">
        <v>3</v>
      </c>
      <c r="F59" s="56">
        <v>4</v>
      </c>
      <c r="G59" s="25" t="s">
        <v>19</v>
      </c>
      <c r="H59" s="17">
        <v>1.304</v>
      </c>
      <c r="I59" s="17">
        <v>0.94</v>
      </c>
      <c r="J59" s="17">
        <v>6.57</v>
      </c>
      <c r="K59" s="18">
        <v>20.7</v>
      </c>
      <c r="L59" s="18">
        <v>47.7</v>
      </c>
      <c r="M59" s="18">
        <v>2</v>
      </c>
    </row>
    <row r="60" spans="1:13" ht="15.75" customHeight="1" x14ac:dyDescent="0.3">
      <c r="A60" s="26">
        <v>58</v>
      </c>
      <c r="B60" s="26" t="s">
        <v>214</v>
      </c>
      <c r="C60" s="59">
        <v>113</v>
      </c>
      <c r="D60" s="21" t="s">
        <v>24</v>
      </c>
      <c r="E60" s="21" t="s">
        <v>24</v>
      </c>
      <c r="F60" s="58">
        <v>4</v>
      </c>
      <c r="G60" s="20" t="s">
        <v>25</v>
      </c>
      <c r="H60" s="22">
        <v>0.70699999999999996</v>
      </c>
      <c r="I60" s="22">
        <v>1.1299999999999999</v>
      </c>
      <c r="J60" s="22">
        <v>4.72</v>
      </c>
      <c r="K60" s="23">
        <v>19.2</v>
      </c>
      <c r="L60" s="23">
        <v>32.799999999999997</v>
      </c>
      <c r="M60" s="23">
        <v>6</v>
      </c>
    </row>
    <row r="61" spans="1:13" ht="15.75" customHeight="1" x14ac:dyDescent="0.3">
      <c r="A61" s="26">
        <v>59</v>
      </c>
      <c r="B61" s="26" t="s">
        <v>215</v>
      </c>
      <c r="C61" s="58">
        <v>109</v>
      </c>
      <c r="D61" s="21" t="s">
        <v>24</v>
      </c>
      <c r="E61" s="21" t="s">
        <v>24</v>
      </c>
      <c r="F61" s="58">
        <v>4</v>
      </c>
      <c r="G61" s="20" t="s">
        <v>25</v>
      </c>
      <c r="H61" s="22">
        <v>0.69899999999999995</v>
      </c>
      <c r="I61" s="22">
        <v>0.62</v>
      </c>
      <c r="J61" s="22">
        <v>3.06</v>
      </c>
      <c r="K61" s="23">
        <v>19.2</v>
      </c>
      <c r="L61" s="23">
        <v>32.799999999999997</v>
      </c>
      <c r="M61" s="23">
        <v>4</v>
      </c>
    </row>
    <row r="62" spans="1:13" ht="15.75" customHeight="1" x14ac:dyDescent="0.3">
      <c r="A62" s="14">
        <v>60</v>
      </c>
      <c r="B62" s="14" t="s">
        <v>216</v>
      </c>
      <c r="C62" s="57">
        <v>676</v>
      </c>
      <c r="D62" s="57">
        <v>4</v>
      </c>
      <c r="E62" s="57">
        <v>4</v>
      </c>
      <c r="F62" s="56">
        <v>4</v>
      </c>
      <c r="G62" s="25" t="s">
        <v>19</v>
      </c>
      <c r="H62" s="17">
        <v>0.88700000000000001</v>
      </c>
      <c r="I62" s="17">
        <v>1.7</v>
      </c>
      <c r="J62" s="17">
        <v>5.75</v>
      </c>
      <c r="K62" s="18">
        <v>23.6</v>
      </c>
      <c r="L62" s="18">
        <v>38</v>
      </c>
      <c r="M62" s="18">
        <v>4</v>
      </c>
    </row>
    <row r="63" spans="1:13" ht="15.75" customHeight="1" x14ac:dyDescent="0.3">
      <c r="A63" s="26">
        <v>61</v>
      </c>
      <c r="B63" s="26" t="s">
        <v>77</v>
      </c>
      <c r="C63" s="59">
        <v>271</v>
      </c>
      <c r="D63" s="21" t="s">
        <v>24</v>
      </c>
      <c r="E63" s="21" t="s">
        <v>24</v>
      </c>
      <c r="F63" s="58">
        <v>4</v>
      </c>
      <c r="G63" s="20" t="s">
        <v>25</v>
      </c>
      <c r="H63" s="22">
        <v>1.02</v>
      </c>
      <c r="I63" s="22">
        <v>1.05</v>
      </c>
      <c r="J63" s="22">
        <v>3.82</v>
      </c>
      <c r="K63" s="23">
        <v>15.7</v>
      </c>
      <c r="L63" s="23">
        <v>35.200000000000003</v>
      </c>
      <c r="M63" s="23">
        <v>4</v>
      </c>
    </row>
    <row r="64" spans="1:13" ht="15.75" customHeight="1" x14ac:dyDescent="0.3">
      <c r="A64" s="14">
        <v>62</v>
      </c>
      <c r="B64" s="14" t="s">
        <v>217</v>
      </c>
      <c r="C64" s="60">
        <v>574</v>
      </c>
      <c r="D64" s="60">
        <v>4</v>
      </c>
      <c r="E64" s="57">
        <v>3</v>
      </c>
      <c r="F64" s="56">
        <v>4</v>
      </c>
      <c r="G64" s="25" t="s">
        <v>19</v>
      </c>
      <c r="H64" s="17">
        <v>1.05</v>
      </c>
      <c r="I64" s="17">
        <v>1.1399999999999999</v>
      </c>
      <c r="J64" s="17">
        <v>5.16</v>
      </c>
      <c r="K64" s="18">
        <v>11</v>
      </c>
      <c r="L64" s="18">
        <v>25.3</v>
      </c>
      <c r="M64" s="18">
        <v>5</v>
      </c>
    </row>
    <row r="65" spans="1:13" ht="15.75" customHeight="1" x14ac:dyDescent="0.3">
      <c r="A65" s="14">
        <v>63</v>
      </c>
      <c r="B65" s="14" t="s">
        <v>218</v>
      </c>
      <c r="C65" s="56">
        <v>542</v>
      </c>
      <c r="D65" s="56">
        <v>4</v>
      </c>
      <c r="E65" s="56">
        <v>4</v>
      </c>
      <c r="F65" s="56">
        <v>4</v>
      </c>
      <c r="G65" s="25" t="s">
        <v>19</v>
      </c>
      <c r="H65" s="17">
        <v>0.73899999999999999</v>
      </c>
      <c r="I65" s="17">
        <v>1.38</v>
      </c>
      <c r="J65" s="17">
        <v>4.13</v>
      </c>
      <c r="K65" s="18">
        <v>18.899999999999999</v>
      </c>
      <c r="L65" s="18">
        <v>22.9</v>
      </c>
      <c r="M65" s="18">
        <v>4</v>
      </c>
    </row>
    <row r="66" spans="1:13" ht="15.75" customHeight="1" x14ac:dyDescent="0.3">
      <c r="A66" s="14">
        <v>64</v>
      </c>
      <c r="B66" s="14" t="s">
        <v>219</v>
      </c>
      <c r="C66" s="56">
        <v>322</v>
      </c>
      <c r="D66" s="56">
        <v>5</v>
      </c>
      <c r="E66" s="57">
        <v>5</v>
      </c>
      <c r="F66" s="56">
        <v>4</v>
      </c>
      <c r="G66" s="25" t="s">
        <v>19</v>
      </c>
      <c r="H66" s="17">
        <v>1.0549999999999999</v>
      </c>
      <c r="I66" s="17">
        <v>0.96</v>
      </c>
      <c r="J66" s="17">
        <v>4.1500000000000004</v>
      </c>
      <c r="K66" s="18">
        <v>18.600000000000001</v>
      </c>
      <c r="L66" s="18">
        <v>38.9</v>
      </c>
      <c r="M66" s="18">
        <v>4</v>
      </c>
    </row>
    <row r="67" spans="1:13" ht="15.75" customHeight="1" x14ac:dyDescent="0.3">
      <c r="A67" s="26">
        <v>65</v>
      </c>
      <c r="B67" s="26" t="s">
        <v>112</v>
      </c>
      <c r="C67" s="59">
        <v>343</v>
      </c>
      <c r="D67" s="21" t="s">
        <v>24</v>
      </c>
      <c r="E67" s="21" t="s">
        <v>24</v>
      </c>
      <c r="F67" s="58">
        <v>4</v>
      </c>
      <c r="G67" s="20" t="s">
        <v>25</v>
      </c>
      <c r="H67" s="22">
        <v>1.3480000000000001</v>
      </c>
      <c r="I67" s="22">
        <v>1.17</v>
      </c>
      <c r="J67" s="22">
        <v>3.96</v>
      </c>
      <c r="K67" s="23">
        <v>15</v>
      </c>
      <c r="L67" s="23">
        <v>20.7</v>
      </c>
      <c r="M67" s="23">
        <v>5</v>
      </c>
    </row>
    <row r="68" spans="1:13" ht="15.75" customHeight="1" x14ac:dyDescent="0.3">
      <c r="A68" s="14">
        <v>66</v>
      </c>
      <c r="B68" s="14" t="s">
        <v>220</v>
      </c>
      <c r="C68" s="57">
        <v>83</v>
      </c>
      <c r="D68" s="57">
        <v>3</v>
      </c>
      <c r="E68" s="56">
        <v>4</v>
      </c>
      <c r="F68" s="56">
        <v>4</v>
      </c>
      <c r="G68" s="25" t="s">
        <v>19</v>
      </c>
      <c r="H68" s="17">
        <v>0.94399999999999995</v>
      </c>
      <c r="I68" s="17">
        <v>0.51</v>
      </c>
      <c r="J68" s="17">
        <v>3.96</v>
      </c>
      <c r="K68" s="18">
        <v>19.2</v>
      </c>
      <c r="L68" s="18">
        <v>32.799999999999997</v>
      </c>
      <c r="M68" s="18">
        <v>5.5</v>
      </c>
    </row>
    <row r="69" spans="1:13" ht="15.75" customHeight="1" x14ac:dyDescent="0.3">
      <c r="A69" s="14">
        <v>67</v>
      </c>
      <c r="B69" s="14" t="s">
        <v>70</v>
      </c>
      <c r="C69" s="57">
        <v>261</v>
      </c>
      <c r="D69" s="57">
        <v>3</v>
      </c>
      <c r="E69" s="57">
        <v>4</v>
      </c>
      <c r="F69" s="56">
        <v>4</v>
      </c>
      <c r="G69" s="25" t="s">
        <v>19</v>
      </c>
      <c r="H69" s="17">
        <v>0.751</v>
      </c>
      <c r="I69" s="17">
        <v>0.63</v>
      </c>
      <c r="J69" s="17">
        <v>4.7</v>
      </c>
      <c r="K69" s="18">
        <v>19.2</v>
      </c>
      <c r="L69" s="18">
        <v>32.799999999999997</v>
      </c>
      <c r="M69" s="18">
        <v>4</v>
      </c>
    </row>
    <row r="70" spans="1:13" ht="15.75" customHeight="1" x14ac:dyDescent="0.3">
      <c r="A70" s="14">
        <v>68</v>
      </c>
      <c r="B70" s="14" t="s">
        <v>43</v>
      </c>
      <c r="C70" s="56">
        <v>404</v>
      </c>
      <c r="D70" s="56">
        <v>3</v>
      </c>
      <c r="E70" s="57">
        <v>4</v>
      </c>
      <c r="F70" s="56">
        <v>4</v>
      </c>
      <c r="G70" s="25" t="s">
        <v>19</v>
      </c>
      <c r="H70" s="17">
        <v>0.75</v>
      </c>
      <c r="I70" s="17">
        <v>1.31</v>
      </c>
      <c r="J70" s="17">
        <v>3.22</v>
      </c>
      <c r="K70" s="18">
        <v>13.3</v>
      </c>
      <c r="L70" s="18">
        <v>49.4</v>
      </c>
      <c r="M70" s="18">
        <v>7</v>
      </c>
    </row>
    <row r="71" spans="1:13" ht="15.75" customHeight="1" x14ac:dyDescent="0.3">
      <c r="A71" s="14">
        <v>69</v>
      </c>
      <c r="B71" s="14" t="s">
        <v>221</v>
      </c>
      <c r="C71" s="57">
        <v>100</v>
      </c>
      <c r="D71" s="57">
        <v>5</v>
      </c>
      <c r="E71" s="56">
        <v>4</v>
      </c>
      <c r="F71" s="56">
        <v>4</v>
      </c>
      <c r="G71" s="25" t="s">
        <v>19</v>
      </c>
      <c r="H71" s="17">
        <v>0.77800000000000002</v>
      </c>
      <c r="I71" s="17">
        <v>1.07</v>
      </c>
      <c r="J71" s="17">
        <v>3.97</v>
      </c>
      <c r="K71" s="18">
        <v>19.2</v>
      </c>
      <c r="L71" s="18">
        <v>32.799999999999997</v>
      </c>
      <c r="M71" s="18">
        <v>4</v>
      </c>
    </row>
    <row r="72" spans="1:13" ht="15.75" customHeight="1" x14ac:dyDescent="0.3">
      <c r="A72" s="14">
        <v>70</v>
      </c>
      <c r="B72" s="14" t="s">
        <v>222</v>
      </c>
      <c r="C72" s="57">
        <v>173</v>
      </c>
      <c r="D72" s="57">
        <v>3</v>
      </c>
      <c r="E72" s="57">
        <v>4</v>
      </c>
      <c r="F72" s="56">
        <v>4</v>
      </c>
      <c r="G72" s="25" t="s">
        <v>19</v>
      </c>
      <c r="H72" s="17">
        <v>0.95</v>
      </c>
      <c r="I72" s="15"/>
      <c r="J72" s="17">
        <v>5.68</v>
      </c>
      <c r="K72" s="15"/>
      <c r="L72" s="15"/>
      <c r="M72" s="15"/>
    </row>
    <row r="73" spans="1:13" ht="15.75" customHeight="1" x14ac:dyDescent="0.3">
      <c r="A73" s="26">
        <v>71</v>
      </c>
      <c r="B73" s="26" t="s">
        <v>223</v>
      </c>
      <c r="C73" s="58">
        <v>27</v>
      </c>
      <c r="D73" s="21" t="s">
        <v>24</v>
      </c>
      <c r="E73" s="21" t="s">
        <v>24</v>
      </c>
      <c r="F73" s="58">
        <v>4</v>
      </c>
      <c r="G73" s="20" t="s">
        <v>25</v>
      </c>
      <c r="H73" s="22">
        <v>2.6190000000000002</v>
      </c>
      <c r="I73" s="22">
        <v>0.55000000000000004</v>
      </c>
      <c r="J73" s="22">
        <v>3.95</v>
      </c>
      <c r="K73" s="23">
        <v>19.2</v>
      </c>
      <c r="L73" s="23">
        <v>32.799999999999997</v>
      </c>
      <c r="M73" s="23">
        <v>23.5</v>
      </c>
    </row>
    <row r="74" spans="1:13" ht="15.75" customHeight="1" x14ac:dyDescent="0.3">
      <c r="A74" s="26">
        <v>72</v>
      </c>
      <c r="B74" s="26" t="s">
        <v>224</v>
      </c>
      <c r="C74" s="58">
        <v>393</v>
      </c>
      <c r="D74" s="21" t="s">
        <v>24</v>
      </c>
      <c r="E74" s="21" t="s">
        <v>24</v>
      </c>
      <c r="F74" s="58">
        <v>4</v>
      </c>
      <c r="G74" s="20" t="s">
        <v>25</v>
      </c>
      <c r="H74" s="22">
        <v>0.53</v>
      </c>
      <c r="I74" s="22">
        <v>1.21</v>
      </c>
      <c r="J74" s="22">
        <v>4.16</v>
      </c>
      <c r="K74" s="23">
        <v>11.8</v>
      </c>
      <c r="L74" s="23">
        <v>42.2</v>
      </c>
      <c r="M74" s="23">
        <v>4</v>
      </c>
    </row>
    <row r="75" spans="1:13" ht="15.75" customHeight="1" x14ac:dyDescent="0.3">
      <c r="A75" s="26">
        <v>73</v>
      </c>
      <c r="B75" s="26" t="s">
        <v>53</v>
      </c>
      <c r="C75" s="58">
        <v>223</v>
      </c>
      <c r="D75" s="21" t="s">
        <v>24</v>
      </c>
      <c r="E75" s="21" t="s">
        <v>24</v>
      </c>
      <c r="F75" s="58">
        <v>4</v>
      </c>
      <c r="G75" s="20" t="s">
        <v>25</v>
      </c>
      <c r="H75" s="22">
        <v>0.83699999999999997</v>
      </c>
      <c r="I75" s="22">
        <v>0.67</v>
      </c>
      <c r="J75" s="22">
        <v>5.57</v>
      </c>
      <c r="K75" s="23">
        <v>19.2</v>
      </c>
      <c r="L75" s="23">
        <v>32.799999999999997</v>
      </c>
      <c r="M75" s="23">
        <v>4</v>
      </c>
    </row>
    <row r="76" spans="1:13" ht="15.75" customHeight="1" x14ac:dyDescent="0.3">
      <c r="A76" s="14">
        <v>74</v>
      </c>
      <c r="B76" s="14" t="s">
        <v>225</v>
      </c>
      <c r="C76" s="57">
        <v>209</v>
      </c>
      <c r="D76" s="57">
        <v>3</v>
      </c>
      <c r="E76" s="56">
        <v>4</v>
      </c>
      <c r="F76" s="56">
        <v>4</v>
      </c>
      <c r="G76" s="25" t="s">
        <v>19</v>
      </c>
      <c r="H76" s="17">
        <v>1.474</v>
      </c>
      <c r="I76" s="17">
        <v>0.63</v>
      </c>
      <c r="J76" s="17">
        <v>3.71</v>
      </c>
      <c r="K76" s="18">
        <v>19.2</v>
      </c>
      <c r="L76" s="18">
        <v>32.799999999999997</v>
      </c>
      <c r="M76" s="18">
        <v>4</v>
      </c>
    </row>
    <row r="77" spans="1:13" ht="15.75" customHeight="1" x14ac:dyDescent="0.3">
      <c r="A77" s="14">
        <v>75</v>
      </c>
      <c r="B77" s="14" t="s">
        <v>226</v>
      </c>
      <c r="C77" s="57">
        <v>96</v>
      </c>
      <c r="D77" s="57">
        <v>3</v>
      </c>
      <c r="E77" s="56">
        <v>4</v>
      </c>
      <c r="F77" s="56">
        <v>4</v>
      </c>
      <c r="G77" s="25" t="s">
        <v>19</v>
      </c>
      <c r="H77" s="17">
        <v>0.83899999999999997</v>
      </c>
      <c r="I77" s="17">
        <v>1.2</v>
      </c>
      <c r="J77" s="17">
        <v>3.13</v>
      </c>
      <c r="K77" s="18">
        <v>19.2</v>
      </c>
      <c r="L77" s="18">
        <v>32.799999999999997</v>
      </c>
      <c r="M77" s="18">
        <v>5</v>
      </c>
    </row>
    <row r="78" spans="1:13" ht="15.75" customHeight="1" x14ac:dyDescent="0.3">
      <c r="A78" s="14">
        <v>76</v>
      </c>
      <c r="B78" s="14" t="s">
        <v>227</v>
      </c>
      <c r="C78" s="56">
        <v>162</v>
      </c>
      <c r="D78" s="56">
        <v>3</v>
      </c>
      <c r="E78" s="56">
        <v>4</v>
      </c>
      <c r="F78" s="56">
        <v>4</v>
      </c>
      <c r="G78" s="25" t="s">
        <v>19</v>
      </c>
      <c r="H78" s="17">
        <v>0.71499999999999997</v>
      </c>
      <c r="I78" s="17">
        <v>0.68</v>
      </c>
      <c r="J78" s="17">
        <v>3.88</v>
      </c>
      <c r="K78" s="18">
        <v>19.2</v>
      </c>
      <c r="L78" s="18">
        <v>32.799999999999997</v>
      </c>
      <c r="M78" s="18">
        <v>6</v>
      </c>
    </row>
    <row r="79" spans="1:13" ht="15.75" customHeight="1" x14ac:dyDescent="0.3">
      <c r="A79" s="14">
        <v>77</v>
      </c>
      <c r="B79" s="14" t="s">
        <v>44</v>
      </c>
      <c r="C79" s="57">
        <v>584</v>
      </c>
      <c r="D79" s="57">
        <v>4</v>
      </c>
      <c r="E79" s="57">
        <v>5</v>
      </c>
      <c r="F79" s="56">
        <v>4</v>
      </c>
      <c r="G79" s="25" t="s">
        <v>19</v>
      </c>
      <c r="H79" s="17">
        <v>1.2070000000000001</v>
      </c>
      <c r="I79" s="17">
        <v>1.1299999999999999</v>
      </c>
      <c r="J79" s="17">
        <v>5.12</v>
      </c>
      <c r="K79" s="18">
        <v>15.3</v>
      </c>
      <c r="L79" s="18">
        <v>32.9</v>
      </c>
      <c r="M79" s="18">
        <v>5</v>
      </c>
    </row>
    <row r="80" spans="1:13" ht="15.75" customHeight="1" x14ac:dyDescent="0.3">
      <c r="A80" s="26">
        <v>78</v>
      </c>
      <c r="B80" s="26" t="s">
        <v>228</v>
      </c>
      <c r="C80" s="58">
        <v>96</v>
      </c>
      <c r="D80" s="21" t="s">
        <v>24</v>
      </c>
      <c r="E80" s="21" t="s">
        <v>24</v>
      </c>
      <c r="F80" s="58">
        <v>3</v>
      </c>
      <c r="G80" s="20" t="s">
        <v>25</v>
      </c>
      <c r="H80" s="22">
        <v>1.667</v>
      </c>
      <c r="I80" s="22">
        <v>0.38</v>
      </c>
      <c r="J80" s="22">
        <v>4.82</v>
      </c>
      <c r="K80" s="23">
        <v>19.2</v>
      </c>
      <c r="L80" s="23">
        <v>32.799999999999997</v>
      </c>
      <c r="M80" s="23">
        <v>6</v>
      </c>
    </row>
    <row r="81" spans="1:13" ht="15.75" customHeight="1" x14ac:dyDescent="0.3">
      <c r="A81" s="14">
        <v>79</v>
      </c>
      <c r="B81" s="14" t="s">
        <v>229</v>
      </c>
      <c r="C81" s="61">
        <v>3</v>
      </c>
      <c r="D81" s="56">
        <v>3</v>
      </c>
      <c r="E81" s="56">
        <v>4</v>
      </c>
      <c r="F81" s="56">
        <v>3</v>
      </c>
      <c r="G81" s="25" t="s">
        <v>19</v>
      </c>
      <c r="H81" s="15"/>
      <c r="I81" s="15"/>
      <c r="J81" s="17">
        <v>3.49</v>
      </c>
      <c r="K81" s="15"/>
      <c r="L81" s="15"/>
      <c r="M81" s="15"/>
    </row>
    <row r="82" spans="1:13" ht="15.75" customHeight="1" x14ac:dyDescent="0.3">
      <c r="A82" s="14">
        <v>80</v>
      </c>
      <c r="B82" s="14" t="s">
        <v>90</v>
      </c>
      <c r="C82" s="57">
        <v>153</v>
      </c>
      <c r="D82" s="57">
        <v>3</v>
      </c>
      <c r="E82" s="56">
        <v>3</v>
      </c>
      <c r="F82" s="56">
        <v>3</v>
      </c>
      <c r="G82" s="25" t="s">
        <v>19</v>
      </c>
      <c r="H82" s="17">
        <v>1.2569999999999999</v>
      </c>
      <c r="I82" s="17">
        <v>0.88</v>
      </c>
      <c r="J82" s="17">
        <v>6.14</v>
      </c>
      <c r="K82" s="18">
        <v>19.2</v>
      </c>
      <c r="L82" s="18">
        <v>32.799999999999997</v>
      </c>
      <c r="M82" s="18">
        <v>4</v>
      </c>
    </row>
    <row r="83" spans="1:13" ht="15.75" customHeight="1" x14ac:dyDescent="0.3">
      <c r="A83" s="26">
        <v>81</v>
      </c>
      <c r="B83" s="26" t="s">
        <v>230</v>
      </c>
      <c r="C83" s="58">
        <v>194</v>
      </c>
      <c r="D83" s="21" t="s">
        <v>24</v>
      </c>
      <c r="E83" s="21" t="s">
        <v>24</v>
      </c>
      <c r="F83" s="58">
        <v>3</v>
      </c>
      <c r="G83" s="20" t="s">
        <v>25</v>
      </c>
      <c r="H83" s="22">
        <v>1.2969999999999999</v>
      </c>
      <c r="I83" s="22">
        <v>0.82</v>
      </c>
      <c r="J83" s="22">
        <v>4.79</v>
      </c>
      <c r="K83" s="23">
        <v>19.2</v>
      </c>
      <c r="L83" s="23">
        <v>32.799999999999997</v>
      </c>
      <c r="M83" s="23">
        <v>7</v>
      </c>
    </row>
    <row r="84" spans="1:13" ht="15.75" customHeight="1" x14ac:dyDescent="0.3">
      <c r="A84" s="14">
        <v>82</v>
      </c>
      <c r="B84" s="14" t="s">
        <v>231</v>
      </c>
      <c r="C84" s="62">
        <v>2</v>
      </c>
      <c r="D84" s="57">
        <v>4</v>
      </c>
      <c r="E84" s="56">
        <v>4</v>
      </c>
      <c r="F84" s="56">
        <v>3</v>
      </c>
      <c r="G84" s="25" t="s">
        <v>19</v>
      </c>
      <c r="H84" s="15"/>
      <c r="I84" s="17">
        <v>1.4</v>
      </c>
      <c r="J84" s="17">
        <v>0.87</v>
      </c>
      <c r="K84" s="18">
        <v>19.2</v>
      </c>
      <c r="L84" s="18">
        <v>32.799999999999997</v>
      </c>
      <c r="M84" s="18">
        <v>7.5</v>
      </c>
    </row>
    <row r="85" spans="1:13" ht="15.75" customHeight="1" x14ac:dyDescent="0.3">
      <c r="A85" s="26">
        <v>83</v>
      </c>
      <c r="B85" s="26" t="s">
        <v>62</v>
      </c>
      <c r="C85" s="58">
        <v>720</v>
      </c>
      <c r="D85" s="21" t="s">
        <v>24</v>
      </c>
      <c r="E85" s="21" t="s">
        <v>24</v>
      </c>
      <c r="F85" s="58">
        <v>3</v>
      </c>
      <c r="G85" s="20" t="s">
        <v>25</v>
      </c>
      <c r="H85" s="21"/>
      <c r="I85" s="22">
        <v>1.42</v>
      </c>
      <c r="J85" s="22">
        <v>6.17</v>
      </c>
      <c r="K85" s="23">
        <v>48.1</v>
      </c>
      <c r="L85" s="23">
        <v>42.6</v>
      </c>
      <c r="M85" s="23">
        <v>3</v>
      </c>
    </row>
    <row r="86" spans="1:13" ht="15.75" customHeight="1" x14ac:dyDescent="0.3">
      <c r="A86" s="14">
        <v>84</v>
      </c>
      <c r="B86" s="14" t="s">
        <v>232</v>
      </c>
      <c r="C86" s="61">
        <v>27</v>
      </c>
      <c r="D86" s="56">
        <v>3</v>
      </c>
      <c r="E86" s="56">
        <v>3</v>
      </c>
      <c r="F86" s="56">
        <v>3</v>
      </c>
      <c r="G86" s="25" t="s">
        <v>19</v>
      </c>
      <c r="H86" s="15"/>
      <c r="I86" s="17">
        <v>0.48</v>
      </c>
      <c r="J86" s="17">
        <v>3.57</v>
      </c>
      <c r="K86" s="18">
        <v>19.2</v>
      </c>
      <c r="L86" s="18">
        <v>32.799999999999997</v>
      </c>
      <c r="M86" s="18">
        <v>6</v>
      </c>
    </row>
    <row r="87" spans="1:13" ht="15.75" customHeight="1" x14ac:dyDescent="0.3">
      <c r="A87" s="26">
        <v>85</v>
      </c>
      <c r="B87" s="26" t="s">
        <v>233</v>
      </c>
      <c r="C87" s="58">
        <v>71</v>
      </c>
      <c r="D87" s="21" t="s">
        <v>24</v>
      </c>
      <c r="E87" s="21" t="s">
        <v>24</v>
      </c>
      <c r="F87" s="58">
        <v>3</v>
      </c>
      <c r="G87" s="20" t="s">
        <v>25</v>
      </c>
      <c r="H87" s="22">
        <v>1.46</v>
      </c>
      <c r="I87" s="22">
        <v>0.39</v>
      </c>
      <c r="J87" s="22">
        <v>7.54</v>
      </c>
      <c r="K87" s="23">
        <v>19.2</v>
      </c>
      <c r="L87" s="23">
        <v>32.799999999999997</v>
      </c>
      <c r="M87" s="23">
        <v>6</v>
      </c>
    </row>
    <row r="88" spans="1:13" ht="15.75" customHeight="1" x14ac:dyDescent="0.3">
      <c r="A88" s="26">
        <v>86</v>
      </c>
      <c r="B88" s="26" t="s">
        <v>97</v>
      </c>
      <c r="C88" s="59">
        <v>542</v>
      </c>
      <c r="D88" s="21" t="s">
        <v>24</v>
      </c>
      <c r="E88" s="21" t="s">
        <v>24</v>
      </c>
      <c r="F88" s="58">
        <v>3</v>
      </c>
      <c r="G88" s="20" t="s">
        <v>25</v>
      </c>
      <c r="H88" s="22">
        <v>0.83699999999999997</v>
      </c>
      <c r="I88" s="22">
        <v>0.76</v>
      </c>
      <c r="J88" s="22">
        <v>5.13</v>
      </c>
      <c r="K88" s="23">
        <v>10.3</v>
      </c>
      <c r="L88" s="23">
        <v>24.9</v>
      </c>
      <c r="M88" s="23">
        <v>5</v>
      </c>
    </row>
    <row r="89" spans="1:13" ht="15.75" customHeight="1" x14ac:dyDescent="0.3">
      <c r="A89" s="26">
        <v>87</v>
      </c>
      <c r="B89" s="26" t="s">
        <v>234</v>
      </c>
      <c r="C89" s="59">
        <v>57</v>
      </c>
      <c r="D89" s="21" t="s">
        <v>24</v>
      </c>
      <c r="E89" s="21" t="s">
        <v>24</v>
      </c>
      <c r="F89" s="63">
        <v>3</v>
      </c>
      <c r="G89" s="20" t="s">
        <v>25</v>
      </c>
      <c r="H89" s="22">
        <v>0.73699999999999999</v>
      </c>
      <c r="I89" s="22">
        <v>0.25</v>
      </c>
      <c r="J89" s="22">
        <v>2.66</v>
      </c>
      <c r="K89" s="23">
        <v>19.2</v>
      </c>
      <c r="L89" s="23">
        <v>32.799999999999997</v>
      </c>
      <c r="M89" s="23">
        <v>5</v>
      </c>
    </row>
    <row r="90" spans="1:13" ht="15.75" customHeight="1" x14ac:dyDescent="0.3">
      <c r="A90" s="14">
        <v>88</v>
      </c>
      <c r="B90" s="14" t="s">
        <v>119</v>
      </c>
      <c r="C90" s="62">
        <v>14</v>
      </c>
      <c r="D90" s="57">
        <v>3</v>
      </c>
      <c r="E90" s="56">
        <v>3</v>
      </c>
      <c r="F90" s="56">
        <v>3</v>
      </c>
      <c r="G90" s="25" t="s">
        <v>19</v>
      </c>
      <c r="H90" s="15"/>
      <c r="I90" s="15"/>
      <c r="J90" s="17">
        <v>8.06</v>
      </c>
      <c r="K90" s="15"/>
      <c r="L90" s="15"/>
      <c r="M90" s="15"/>
    </row>
    <row r="91" spans="1:13" ht="15.75" customHeight="1" x14ac:dyDescent="0.3">
      <c r="A91" s="14">
        <v>89</v>
      </c>
      <c r="B91" s="14" t="s">
        <v>235</v>
      </c>
      <c r="C91" s="56">
        <v>810</v>
      </c>
      <c r="D91" s="56">
        <v>4</v>
      </c>
      <c r="E91" s="57">
        <v>4</v>
      </c>
      <c r="F91" s="56">
        <v>3</v>
      </c>
      <c r="G91" s="25" t="s">
        <v>19</v>
      </c>
      <c r="H91" s="17">
        <v>2.5710000000000002</v>
      </c>
      <c r="I91" s="17">
        <v>1.25</v>
      </c>
      <c r="J91" s="17">
        <v>7.11</v>
      </c>
      <c r="K91" s="18">
        <v>22.9</v>
      </c>
      <c r="L91" s="18">
        <v>26</v>
      </c>
      <c r="M91" s="18">
        <v>4</v>
      </c>
    </row>
    <row r="92" spans="1:13" ht="15.75" customHeight="1" x14ac:dyDescent="0.3">
      <c r="A92" s="26">
        <v>90</v>
      </c>
      <c r="B92" s="26" t="s">
        <v>121</v>
      </c>
      <c r="C92" s="59">
        <v>604</v>
      </c>
      <c r="D92" s="21" t="s">
        <v>24</v>
      </c>
      <c r="E92" s="21" t="s">
        <v>24</v>
      </c>
      <c r="F92" s="58">
        <v>3</v>
      </c>
      <c r="G92" s="20" t="s">
        <v>25</v>
      </c>
      <c r="H92" s="22">
        <v>0.69799999999999995</v>
      </c>
      <c r="I92" s="22">
        <v>1.02</v>
      </c>
      <c r="J92" s="22">
        <v>5.65</v>
      </c>
      <c r="K92" s="23">
        <v>27.4</v>
      </c>
      <c r="L92" s="23">
        <v>34.1</v>
      </c>
      <c r="M92" s="23">
        <v>5</v>
      </c>
    </row>
    <row r="93" spans="1:13" ht="15.75" customHeight="1" x14ac:dyDescent="0.3">
      <c r="A93" s="14">
        <v>91</v>
      </c>
      <c r="B93" s="14" t="s">
        <v>118</v>
      </c>
      <c r="C93" s="57">
        <v>820</v>
      </c>
      <c r="D93" s="57">
        <v>4</v>
      </c>
      <c r="E93" s="57">
        <v>4</v>
      </c>
      <c r="F93" s="56">
        <v>3</v>
      </c>
      <c r="G93" s="25" t="s">
        <v>19</v>
      </c>
      <c r="H93" s="17">
        <v>1.153</v>
      </c>
      <c r="I93" s="17">
        <v>1.44</v>
      </c>
      <c r="J93" s="17">
        <v>5.44</v>
      </c>
      <c r="K93" s="18">
        <v>26.3</v>
      </c>
      <c r="L93" s="18">
        <v>34.9</v>
      </c>
      <c r="M93" s="18">
        <v>3</v>
      </c>
    </row>
    <row r="94" spans="1:13" ht="15.75" customHeight="1" x14ac:dyDescent="0.3">
      <c r="A94" s="14">
        <v>92</v>
      </c>
      <c r="B94" s="14" t="s">
        <v>236</v>
      </c>
      <c r="C94" s="62">
        <v>43</v>
      </c>
      <c r="D94" s="57">
        <v>5</v>
      </c>
      <c r="E94" s="56">
        <v>5</v>
      </c>
      <c r="F94" s="56">
        <v>3</v>
      </c>
      <c r="G94" s="25" t="s">
        <v>19</v>
      </c>
      <c r="H94" s="17">
        <v>0.73799999999999999</v>
      </c>
      <c r="I94" s="17">
        <v>0.8</v>
      </c>
      <c r="J94" s="17">
        <v>4.7300000000000004</v>
      </c>
      <c r="K94" s="18">
        <v>19.2</v>
      </c>
      <c r="L94" s="18">
        <v>32.799999999999997</v>
      </c>
      <c r="M94" s="18">
        <v>5.5</v>
      </c>
    </row>
    <row r="95" spans="1:13" ht="15.75" customHeight="1" x14ac:dyDescent="0.3">
      <c r="A95" s="26">
        <v>93</v>
      </c>
      <c r="B95" s="26" t="s">
        <v>114</v>
      </c>
      <c r="C95" s="58">
        <v>126</v>
      </c>
      <c r="D95" s="21" t="s">
        <v>24</v>
      </c>
      <c r="E95" s="21" t="s">
        <v>24</v>
      </c>
      <c r="F95" s="58">
        <v>3</v>
      </c>
      <c r="G95" s="20" t="s">
        <v>25</v>
      </c>
      <c r="H95" s="22">
        <v>0.77600000000000002</v>
      </c>
      <c r="I95" s="22">
        <v>0.61</v>
      </c>
      <c r="J95" s="22">
        <v>3.02</v>
      </c>
      <c r="K95" s="23">
        <v>19.2</v>
      </c>
      <c r="L95" s="23">
        <v>32.799999999999997</v>
      </c>
      <c r="M95" s="23">
        <v>5</v>
      </c>
    </row>
    <row r="96" spans="1:13" ht="15.75" customHeight="1" x14ac:dyDescent="0.3">
      <c r="A96" s="14">
        <v>94</v>
      </c>
      <c r="B96" s="14" t="s">
        <v>237</v>
      </c>
      <c r="C96" s="61">
        <v>53</v>
      </c>
      <c r="D96" s="56">
        <v>3</v>
      </c>
      <c r="E96" s="56">
        <v>4</v>
      </c>
      <c r="F96" s="56">
        <v>3</v>
      </c>
      <c r="G96" s="25" t="s">
        <v>19</v>
      </c>
      <c r="H96" s="17">
        <v>0.88600000000000001</v>
      </c>
      <c r="I96" s="17">
        <v>0.59</v>
      </c>
      <c r="J96" s="17">
        <v>4.28</v>
      </c>
      <c r="K96" s="18">
        <v>19.2</v>
      </c>
      <c r="L96" s="18">
        <v>32.799999999999997</v>
      </c>
      <c r="M96" s="18">
        <v>5</v>
      </c>
    </row>
    <row r="97" spans="1:13" ht="15.75" customHeight="1" x14ac:dyDescent="0.3">
      <c r="A97" s="26">
        <v>95</v>
      </c>
      <c r="B97" s="26" t="s">
        <v>238</v>
      </c>
      <c r="C97" s="58">
        <v>140</v>
      </c>
      <c r="D97" s="21" t="s">
        <v>24</v>
      </c>
      <c r="E97" s="21" t="s">
        <v>24</v>
      </c>
      <c r="F97" s="58">
        <v>3</v>
      </c>
      <c r="G97" s="20" t="s">
        <v>25</v>
      </c>
      <c r="H97" s="22">
        <v>0.93600000000000005</v>
      </c>
      <c r="I97" s="22">
        <v>0.96</v>
      </c>
      <c r="J97" s="22">
        <v>3.93</v>
      </c>
      <c r="K97" s="23">
        <v>19.2</v>
      </c>
      <c r="L97" s="23">
        <v>32.799999999999997</v>
      </c>
      <c r="M97" s="23">
        <v>6</v>
      </c>
    </row>
    <row r="98" spans="1:13" ht="15.75" customHeight="1" x14ac:dyDescent="0.3">
      <c r="A98" s="26">
        <v>96</v>
      </c>
      <c r="B98" s="26" t="s">
        <v>239</v>
      </c>
      <c r="C98" s="58">
        <v>113</v>
      </c>
      <c r="D98" s="21" t="s">
        <v>24</v>
      </c>
      <c r="E98" s="21" t="s">
        <v>24</v>
      </c>
      <c r="F98" s="58">
        <v>3</v>
      </c>
      <c r="G98" s="20" t="s">
        <v>25</v>
      </c>
      <c r="H98" s="22">
        <v>1.1020000000000001</v>
      </c>
      <c r="I98" s="22">
        <v>0.69</v>
      </c>
      <c r="J98" s="22">
        <v>5.25</v>
      </c>
      <c r="K98" s="23">
        <v>19.2</v>
      </c>
      <c r="L98" s="23">
        <v>32.799999999999997</v>
      </c>
      <c r="M98" s="23">
        <v>7</v>
      </c>
    </row>
    <row r="99" spans="1:13" ht="15.75" customHeight="1" x14ac:dyDescent="0.3">
      <c r="A99" s="26">
        <v>97</v>
      </c>
      <c r="B99" s="26" t="s">
        <v>71</v>
      </c>
      <c r="C99" s="59">
        <v>437</v>
      </c>
      <c r="D99" s="21" t="s">
        <v>24</v>
      </c>
      <c r="E99" s="21" t="s">
        <v>24</v>
      </c>
      <c r="F99" s="58">
        <v>3</v>
      </c>
      <c r="G99" s="20" t="s">
        <v>25</v>
      </c>
      <c r="H99" s="22">
        <v>1.595</v>
      </c>
      <c r="I99" s="22">
        <v>1.89</v>
      </c>
      <c r="J99" s="22">
        <v>5.88</v>
      </c>
      <c r="K99" s="23">
        <v>14.9</v>
      </c>
      <c r="L99" s="23">
        <v>30.4</v>
      </c>
      <c r="M99" s="23">
        <v>3</v>
      </c>
    </row>
    <row r="100" spans="1:13" ht="15.75" customHeight="1" x14ac:dyDescent="0.3">
      <c r="A100" s="14">
        <v>98</v>
      </c>
      <c r="B100" s="14" t="s">
        <v>56</v>
      </c>
      <c r="C100" s="57">
        <v>569</v>
      </c>
      <c r="D100" s="57">
        <v>5</v>
      </c>
      <c r="E100" s="57">
        <v>5</v>
      </c>
      <c r="F100" s="56">
        <v>3</v>
      </c>
      <c r="G100" s="25" t="s">
        <v>19</v>
      </c>
      <c r="H100" s="17">
        <v>1.1040000000000001</v>
      </c>
      <c r="I100" s="17">
        <v>0.94</v>
      </c>
      <c r="J100" s="17">
        <v>3.9</v>
      </c>
      <c r="K100" s="18">
        <v>26.2</v>
      </c>
      <c r="L100" s="18">
        <v>26.2</v>
      </c>
      <c r="M100" s="18">
        <v>3</v>
      </c>
    </row>
    <row r="101" spans="1:13" ht="15.75" customHeight="1" x14ac:dyDescent="0.3">
      <c r="A101" s="26">
        <v>99</v>
      </c>
      <c r="B101" s="26" t="s">
        <v>240</v>
      </c>
      <c r="C101" s="58">
        <v>177</v>
      </c>
      <c r="D101" s="21" t="s">
        <v>24</v>
      </c>
      <c r="E101" s="21" t="s">
        <v>24</v>
      </c>
      <c r="F101" s="58">
        <v>3</v>
      </c>
      <c r="G101" s="20" t="s">
        <v>25</v>
      </c>
      <c r="H101" s="22">
        <v>0.88900000000000001</v>
      </c>
      <c r="I101" s="22">
        <v>0.59</v>
      </c>
      <c r="J101" s="22">
        <v>4.32</v>
      </c>
      <c r="K101" s="23">
        <v>19.2</v>
      </c>
      <c r="L101" s="23">
        <v>32.799999999999997</v>
      </c>
      <c r="M101" s="23">
        <v>4</v>
      </c>
    </row>
    <row r="102" spans="1:13" ht="15.75" customHeight="1" x14ac:dyDescent="0.3">
      <c r="A102" s="26">
        <v>100</v>
      </c>
      <c r="B102" s="26" t="s">
        <v>30</v>
      </c>
      <c r="C102" s="58">
        <v>325</v>
      </c>
      <c r="D102" s="21" t="s">
        <v>24</v>
      </c>
      <c r="E102" s="21" t="s">
        <v>24</v>
      </c>
      <c r="F102" s="58">
        <v>3</v>
      </c>
      <c r="G102" s="20" t="s">
        <v>25</v>
      </c>
      <c r="H102" s="22">
        <v>1.5</v>
      </c>
      <c r="I102" s="22">
        <v>2.23</v>
      </c>
      <c r="J102" s="22">
        <v>4.59</v>
      </c>
      <c r="K102" s="23">
        <v>13.8</v>
      </c>
      <c r="L102" s="23">
        <v>43.1</v>
      </c>
      <c r="M102" s="23">
        <v>6</v>
      </c>
    </row>
    <row r="103" spans="1:13" ht="15.75" customHeight="1" x14ac:dyDescent="0.3">
      <c r="A103" s="14">
        <v>101</v>
      </c>
      <c r="B103" s="14" t="s">
        <v>32</v>
      </c>
      <c r="C103" s="57">
        <v>395</v>
      </c>
      <c r="D103" s="57">
        <v>5</v>
      </c>
      <c r="E103" s="57">
        <v>5</v>
      </c>
      <c r="F103" s="56">
        <v>3</v>
      </c>
      <c r="G103" s="25" t="s">
        <v>19</v>
      </c>
      <c r="H103" s="17">
        <v>0.67300000000000004</v>
      </c>
      <c r="I103" s="17">
        <v>1.35</v>
      </c>
      <c r="J103" s="17">
        <v>3.61</v>
      </c>
      <c r="K103" s="18">
        <v>21.1</v>
      </c>
      <c r="L103" s="18">
        <v>26.9</v>
      </c>
      <c r="M103" s="18">
        <v>5</v>
      </c>
    </row>
    <row r="104" spans="1:13" ht="15.75" customHeight="1" x14ac:dyDescent="0.3">
      <c r="A104" s="26">
        <v>102</v>
      </c>
      <c r="B104" s="26" t="s">
        <v>63</v>
      </c>
      <c r="C104" s="58">
        <v>221</v>
      </c>
      <c r="D104" s="21" t="s">
        <v>24</v>
      </c>
      <c r="E104" s="21" t="s">
        <v>24</v>
      </c>
      <c r="F104" s="58">
        <v>3</v>
      </c>
      <c r="G104" s="20" t="s">
        <v>25</v>
      </c>
      <c r="H104" s="22">
        <v>1.4490000000000001</v>
      </c>
      <c r="I104" s="22">
        <v>0.62</v>
      </c>
      <c r="J104" s="22">
        <v>5.17</v>
      </c>
      <c r="K104" s="23">
        <v>19.2</v>
      </c>
      <c r="L104" s="23">
        <v>32.799999999999997</v>
      </c>
      <c r="M104" s="23">
        <v>5</v>
      </c>
    </row>
    <row r="105" spans="1:13" ht="15.75" customHeight="1" x14ac:dyDescent="0.3">
      <c r="A105" s="26">
        <v>103</v>
      </c>
      <c r="B105" s="26" t="s">
        <v>241</v>
      </c>
      <c r="C105" s="58">
        <v>167</v>
      </c>
      <c r="D105" s="21" t="s">
        <v>24</v>
      </c>
      <c r="E105" s="21" t="s">
        <v>24</v>
      </c>
      <c r="F105" s="58">
        <v>3</v>
      </c>
      <c r="G105" s="20" t="s">
        <v>25</v>
      </c>
      <c r="H105" s="22">
        <v>1.03</v>
      </c>
      <c r="I105" s="22">
        <v>0.51</v>
      </c>
      <c r="J105" s="22">
        <v>4.16</v>
      </c>
      <c r="K105" s="23">
        <v>19.2</v>
      </c>
      <c r="L105" s="23">
        <v>32.799999999999997</v>
      </c>
      <c r="M105" s="23">
        <v>6</v>
      </c>
    </row>
    <row r="106" spans="1:13" ht="15.75" customHeight="1" x14ac:dyDescent="0.3">
      <c r="A106" s="14">
        <v>104</v>
      </c>
      <c r="B106" s="14" t="s">
        <v>132</v>
      </c>
      <c r="C106" s="56">
        <v>545</v>
      </c>
      <c r="D106" s="56">
        <v>4</v>
      </c>
      <c r="E106" s="57">
        <v>3</v>
      </c>
      <c r="F106" s="56">
        <v>3</v>
      </c>
      <c r="G106" s="25" t="s">
        <v>19</v>
      </c>
      <c r="H106" s="17">
        <v>0.82699999999999996</v>
      </c>
      <c r="I106" s="17">
        <v>1.27</v>
      </c>
      <c r="J106" s="17">
        <v>7.28</v>
      </c>
      <c r="K106" s="18">
        <v>31.4</v>
      </c>
      <c r="L106" s="18">
        <v>33.5</v>
      </c>
      <c r="M106" s="18">
        <v>3</v>
      </c>
    </row>
    <row r="107" spans="1:13" ht="15.75" customHeight="1" x14ac:dyDescent="0.3">
      <c r="A107" s="14">
        <v>105</v>
      </c>
      <c r="B107" s="14" t="s">
        <v>242</v>
      </c>
      <c r="C107" s="57">
        <v>459</v>
      </c>
      <c r="D107" s="57">
        <v>3</v>
      </c>
      <c r="E107" s="57">
        <v>2</v>
      </c>
      <c r="F107" s="56">
        <v>3</v>
      </c>
      <c r="G107" s="25" t="s">
        <v>19</v>
      </c>
      <c r="H107" s="17">
        <v>0.88900000000000001</v>
      </c>
      <c r="I107" s="17">
        <v>0.85</v>
      </c>
      <c r="J107" s="17">
        <v>3.83</v>
      </c>
      <c r="K107" s="18">
        <v>12.7</v>
      </c>
      <c r="L107" s="18">
        <v>32</v>
      </c>
      <c r="M107" s="18">
        <v>4</v>
      </c>
    </row>
    <row r="108" spans="1:13" ht="15.75" customHeight="1" x14ac:dyDescent="0.3">
      <c r="A108" s="26">
        <v>106</v>
      </c>
      <c r="B108" s="26" t="s">
        <v>66</v>
      </c>
      <c r="C108" s="59">
        <v>309</v>
      </c>
      <c r="D108" s="21" t="s">
        <v>24</v>
      </c>
      <c r="E108" s="21" t="s">
        <v>24</v>
      </c>
      <c r="F108" s="58">
        <v>3</v>
      </c>
      <c r="G108" s="20" t="s">
        <v>25</v>
      </c>
      <c r="H108" s="22">
        <v>0.78900000000000003</v>
      </c>
      <c r="I108" s="22">
        <v>1.39</v>
      </c>
      <c r="J108" s="22">
        <v>6.04</v>
      </c>
      <c r="K108" s="23">
        <v>25</v>
      </c>
      <c r="L108" s="23">
        <v>33.1</v>
      </c>
      <c r="M108" s="23">
        <v>6</v>
      </c>
    </row>
    <row r="109" spans="1:13" ht="15.75" customHeight="1" x14ac:dyDescent="0.3">
      <c r="A109" s="26">
        <v>107</v>
      </c>
      <c r="B109" s="26" t="s">
        <v>74</v>
      </c>
      <c r="C109" s="59">
        <v>294</v>
      </c>
      <c r="D109" s="21" t="s">
        <v>24</v>
      </c>
      <c r="E109" s="21" t="s">
        <v>24</v>
      </c>
      <c r="F109" s="58">
        <v>3</v>
      </c>
      <c r="G109" s="20" t="s">
        <v>25</v>
      </c>
      <c r="H109" s="22">
        <v>0.68899999999999995</v>
      </c>
      <c r="I109" s="22">
        <v>0.86</v>
      </c>
      <c r="J109" s="22">
        <v>2.94</v>
      </c>
      <c r="K109" s="23">
        <v>18.7</v>
      </c>
      <c r="L109" s="23">
        <v>17.100000000000001</v>
      </c>
      <c r="M109" s="23">
        <v>5</v>
      </c>
    </row>
    <row r="110" spans="1:13" ht="15.75" customHeight="1" x14ac:dyDescent="0.3">
      <c r="A110" s="14">
        <v>108</v>
      </c>
      <c r="B110" s="14" t="s">
        <v>243</v>
      </c>
      <c r="C110" s="56">
        <v>168</v>
      </c>
      <c r="D110" s="56">
        <v>3</v>
      </c>
      <c r="E110" s="56">
        <v>3</v>
      </c>
      <c r="F110" s="56">
        <v>3</v>
      </c>
      <c r="G110" s="25" t="s">
        <v>19</v>
      </c>
      <c r="H110" s="17">
        <v>0.92400000000000004</v>
      </c>
      <c r="I110" s="17">
        <v>0.94</v>
      </c>
      <c r="J110" s="17">
        <v>4.28</v>
      </c>
      <c r="K110" s="18">
        <v>19.2</v>
      </c>
      <c r="L110" s="18">
        <v>32.799999999999997</v>
      </c>
      <c r="M110" s="18">
        <v>6</v>
      </c>
    </row>
    <row r="111" spans="1:13" ht="15.75" customHeight="1" x14ac:dyDescent="0.3">
      <c r="A111" s="26">
        <v>109</v>
      </c>
      <c r="B111" s="26" t="s">
        <v>102</v>
      </c>
      <c r="C111" s="58">
        <v>104</v>
      </c>
      <c r="D111" s="21" t="s">
        <v>24</v>
      </c>
      <c r="E111" s="21" t="s">
        <v>24</v>
      </c>
      <c r="F111" s="58">
        <v>3</v>
      </c>
      <c r="G111" s="20" t="s">
        <v>25</v>
      </c>
      <c r="H111" s="21"/>
      <c r="I111" s="22">
        <v>0.86</v>
      </c>
      <c r="J111" s="22">
        <v>4.3099999999999996</v>
      </c>
      <c r="K111" s="23">
        <v>19.2</v>
      </c>
      <c r="L111" s="23">
        <v>32.799999999999997</v>
      </c>
      <c r="M111" s="23">
        <v>6</v>
      </c>
    </row>
    <row r="112" spans="1:13" ht="15.75" customHeight="1" x14ac:dyDescent="0.3">
      <c r="A112" s="26">
        <v>110</v>
      </c>
      <c r="B112" s="26" t="s">
        <v>65</v>
      </c>
      <c r="C112" s="59">
        <v>217</v>
      </c>
      <c r="D112" s="21" t="s">
        <v>24</v>
      </c>
      <c r="E112" s="21" t="s">
        <v>24</v>
      </c>
      <c r="F112" s="58">
        <v>3</v>
      </c>
      <c r="G112" s="20" t="s">
        <v>25</v>
      </c>
      <c r="H112" s="22">
        <v>1.23</v>
      </c>
      <c r="I112" s="22">
        <v>0.83</v>
      </c>
      <c r="J112" s="22">
        <v>4.12</v>
      </c>
      <c r="K112" s="23">
        <v>19.2</v>
      </c>
      <c r="L112" s="23">
        <v>32.799999999999997</v>
      </c>
      <c r="M112" s="23">
        <v>5</v>
      </c>
    </row>
    <row r="113" spans="1:13" ht="15.75" customHeight="1" x14ac:dyDescent="0.3">
      <c r="A113" s="14">
        <v>111</v>
      </c>
      <c r="B113" s="14" t="s">
        <v>94</v>
      </c>
      <c r="C113" s="56">
        <v>80</v>
      </c>
      <c r="D113" s="56">
        <v>4</v>
      </c>
      <c r="E113" s="56">
        <v>3</v>
      </c>
      <c r="F113" s="56">
        <v>3</v>
      </c>
      <c r="G113" s="25" t="s">
        <v>19</v>
      </c>
      <c r="H113" s="17">
        <v>1.0649999999999999</v>
      </c>
      <c r="I113" s="17">
        <v>0.26</v>
      </c>
      <c r="J113" s="17">
        <v>4.51</v>
      </c>
      <c r="K113" s="18">
        <v>19.2</v>
      </c>
      <c r="L113" s="18">
        <v>32.799999999999997</v>
      </c>
      <c r="M113" s="18">
        <v>8</v>
      </c>
    </row>
    <row r="114" spans="1:13" ht="15.75" customHeight="1" x14ac:dyDescent="0.3">
      <c r="A114" s="26">
        <v>112</v>
      </c>
      <c r="B114" s="26" t="s">
        <v>129</v>
      </c>
      <c r="C114" s="58">
        <v>171</v>
      </c>
      <c r="D114" s="21" t="s">
        <v>24</v>
      </c>
      <c r="E114" s="21" t="s">
        <v>24</v>
      </c>
      <c r="F114" s="58">
        <v>3</v>
      </c>
      <c r="G114" s="20" t="s">
        <v>25</v>
      </c>
      <c r="H114" s="22">
        <v>0.68300000000000005</v>
      </c>
      <c r="I114" s="22">
        <v>1.76</v>
      </c>
      <c r="J114" s="22">
        <v>6.11</v>
      </c>
      <c r="K114" s="23">
        <v>14.3</v>
      </c>
      <c r="L114" s="23">
        <v>39</v>
      </c>
      <c r="M114" s="23">
        <v>5</v>
      </c>
    </row>
    <row r="115" spans="1:13" ht="15.75" customHeight="1" x14ac:dyDescent="0.3">
      <c r="A115" s="14">
        <v>113</v>
      </c>
      <c r="B115" s="14" t="s">
        <v>244</v>
      </c>
      <c r="C115" s="61">
        <v>9</v>
      </c>
      <c r="D115" s="56">
        <v>4</v>
      </c>
      <c r="E115" s="56">
        <v>4</v>
      </c>
      <c r="F115" s="56">
        <v>3</v>
      </c>
      <c r="G115" s="25" t="s">
        <v>19</v>
      </c>
      <c r="H115" s="15"/>
      <c r="I115" s="15"/>
      <c r="J115" s="17">
        <v>3.77</v>
      </c>
      <c r="K115" s="15"/>
      <c r="L115" s="15"/>
      <c r="M115" s="15"/>
    </row>
    <row r="116" spans="1:13" ht="15.75" customHeight="1" x14ac:dyDescent="0.3">
      <c r="A116" s="26">
        <v>114</v>
      </c>
      <c r="B116" s="26" t="s">
        <v>126</v>
      </c>
      <c r="C116" s="58">
        <v>114</v>
      </c>
      <c r="D116" s="21" t="s">
        <v>24</v>
      </c>
      <c r="E116" s="21" t="s">
        <v>24</v>
      </c>
      <c r="F116" s="58">
        <v>3</v>
      </c>
      <c r="G116" s="20" t="s">
        <v>25</v>
      </c>
      <c r="H116" s="22">
        <v>1.2749999999999999</v>
      </c>
      <c r="I116" s="22">
        <v>0.34</v>
      </c>
      <c r="J116" s="22">
        <v>7.25</v>
      </c>
      <c r="K116" s="23">
        <v>19.2</v>
      </c>
      <c r="L116" s="23">
        <v>32.799999999999997</v>
      </c>
      <c r="M116" s="23">
        <v>8</v>
      </c>
    </row>
    <row r="117" spans="1:13" ht="15.75" customHeight="1" x14ac:dyDescent="0.3">
      <c r="A117" s="64">
        <v>115</v>
      </c>
      <c r="B117" s="14" t="s">
        <v>34</v>
      </c>
      <c r="C117" s="56">
        <v>415</v>
      </c>
      <c r="D117" s="56">
        <v>4</v>
      </c>
      <c r="E117" s="56">
        <v>5</v>
      </c>
      <c r="F117" s="56">
        <v>3</v>
      </c>
      <c r="G117" s="25" t="s">
        <v>19</v>
      </c>
      <c r="H117" s="49">
        <v>0.879</v>
      </c>
      <c r="I117" s="49">
        <v>0.56000000000000005</v>
      </c>
      <c r="J117" s="49">
        <v>4.08</v>
      </c>
      <c r="K117" s="47">
        <v>19.3</v>
      </c>
      <c r="L117" s="47">
        <v>21.3</v>
      </c>
      <c r="M117" s="47">
        <v>6</v>
      </c>
    </row>
    <row r="118" spans="1:13" ht="15.75" customHeight="1" x14ac:dyDescent="0.3">
      <c r="A118" s="65">
        <v>116</v>
      </c>
      <c r="B118" s="14" t="s">
        <v>36</v>
      </c>
      <c r="C118" s="56">
        <v>422</v>
      </c>
      <c r="D118" s="56">
        <v>3</v>
      </c>
      <c r="E118" s="57">
        <v>5</v>
      </c>
      <c r="F118" s="56">
        <v>3</v>
      </c>
      <c r="G118" s="25" t="s">
        <v>19</v>
      </c>
      <c r="H118" s="17">
        <v>0.88500000000000001</v>
      </c>
      <c r="I118" s="17">
        <v>0.96</v>
      </c>
      <c r="J118" s="17">
        <v>6.26</v>
      </c>
      <c r="K118" s="18">
        <v>18.399999999999999</v>
      </c>
      <c r="L118" s="18">
        <v>30.3</v>
      </c>
      <c r="M118" s="18">
        <v>4</v>
      </c>
    </row>
    <row r="119" spans="1:13" ht="15.75" customHeight="1" x14ac:dyDescent="0.3">
      <c r="A119" s="66">
        <v>117</v>
      </c>
      <c r="B119" s="26" t="s">
        <v>245</v>
      </c>
      <c r="C119" s="58">
        <v>97</v>
      </c>
      <c r="D119" s="21" t="s">
        <v>24</v>
      </c>
      <c r="E119" s="21" t="s">
        <v>24</v>
      </c>
      <c r="F119" s="58">
        <v>3</v>
      </c>
      <c r="G119" s="20" t="s">
        <v>25</v>
      </c>
      <c r="H119" s="22">
        <v>1.3620000000000001</v>
      </c>
      <c r="I119" s="22">
        <v>0.33</v>
      </c>
      <c r="J119" s="22">
        <v>4.92</v>
      </c>
      <c r="K119" s="23">
        <v>19.2</v>
      </c>
      <c r="L119" s="23">
        <v>32.799999999999997</v>
      </c>
      <c r="M119" s="23">
        <v>6</v>
      </c>
    </row>
    <row r="120" spans="1:13" ht="15.75" customHeight="1" x14ac:dyDescent="0.3">
      <c r="A120" s="65">
        <v>118</v>
      </c>
      <c r="B120" s="14" t="s">
        <v>75</v>
      </c>
      <c r="C120" s="56">
        <v>133</v>
      </c>
      <c r="D120" s="56">
        <v>4</v>
      </c>
      <c r="E120" s="56">
        <v>2</v>
      </c>
      <c r="F120" s="56">
        <v>3</v>
      </c>
      <c r="G120" s="25" t="s">
        <v>19</v>
      </c>
      <c r="H120" s="17">
        <v>0.72</v>
      </c>
      <c r="I120" s="17">
        <v>0.37</v>
      </c>
      <c r="J120" s="17">
        <v>5.65</v>
      </c>
      <c r="K120" s="18">
        <v>19.2</v>
      </c>
      <c r="L120" s="18">
        <v>32.799999999999997</v>
      </c>
      <c r="M120" s="18">
        <v>4</v>
      </c>
    </row>
    <row r="121" spans="1:13" ht="15.75" customHeight="1" x14ac:dyDescent="0.3">
      <c r="A121" s="65">
        <v>119</v>
      </c>
      <c r="B121" s="14" t="s">
        <v>95</v>
      </c>
      <c r="C121" s="56">
        <v>270</v>
      </c>
      <c r="D121" s="56">
        <v>4</v>
      </c>
      <c r="E121" s="57">
        <v>4</v>
      </c>
      <c r="F121" s="56">
        <v>3</v>
      </c>
      <c r="G121" s="25" t="s">
        <v>19</v>
      </c>
      <c r="H121" s="17">
        <v>0.74299999999999999</v>
      </c>
      <c r="I121" s="17">
        <v>0.5</v>
      </c>
      <c r="J121" s="17">
        <v>4.92</v>
      </c>
      <c r="K121" s="18">
        <v>20</v>
      </c>
      <c r="L121" s="18">
        <v>30</v>
      </c>
      <c r="M121" s="18">
        <v>3.5</v>
      </c>
    </row>
    <row r="122" spans="1:13" ht="15.75" customHeight="1" x14ac:dyDescent="0.3">
      <c r="A122" s="66">
        <v>120</v>
      </c>
      <c r="B122" s="26" t="s">
        <v>246</v>
      </c>
      <c r="C122" s="59">
        <v>76</v>
      </c>
      <c r="D122" s="21" t="s">
        <v>24</v>
      </c>
      <c r="E122" s="21" t="s">
        <v>24</v>
      </c>
      <c r="F122" s="58">
        <v>3</v>
      </c>
      <c r="G122" s="20" t="s">
        <v>25</v>
      </c>
      <c r="H122" s="22">
        <v>1.2689999999999999</v>
      </c>
      <c r="I122" s="22">
        <v>0.78</v>
      </c>
      <c r="J122" s="22">
        <v>2.2200000000000002</v>
      </c>
      <c r="K122" s="23">
        <v>19.2</v>
      </c>
      <c r="L122" s="23">
        <v>32.799999999999997</v>
      </c>
      <c r="M122" s="23">
        <v>3</v>
      </c>
    </row>
    <row r="123" spans="1:13" ht="15.75" customHeight="1" x14ac:dyDescent="0.3">
      <c r="A123" s="65">
        <v>121</v>
      </c>
      <c r="B123" s="14" t="s">
        <v>33</v>
      </c>
      <c r="C123" s="56">
        <v>1061</v>
      </c>
      <c r="D123" s="56">
        <v>5</v>
      </c>
      <c r="E123" s="57">
        <v>5</v>
      </c>
      <c r="F123" s="56">
        <v>3</v>
      </c>
      <c r="G123" s="25" t="s">
        <v>19</v>
      </c>
      <c r="H123" s="17">
        <v>1.4139999999999999</v>
      </c>
      <c r="I123" s="17">
        <v>1.4</v>
      </c>
      <c r="J123" s="17">
        <v>3.09</v>
      </c>
      <c r="K123" s="18">
        <v>11</v>
      </c>
      <c r="L123" s="18">
        <v>32.700000000000003</v>
      </c>
      <c r="M123" s="18">
        <v>3</v>
      </c>
    </row>
    <row r="124" spans="1:13" ht="15.75" customHeight="1" x14ac:dyDescent="0.3">
      <c r="A124" s="65">
        <v>122</v>
      </c>
      <c r="B124" s="14" t="s">
        <v>247</v>
      </c>
      <c r="C124" s="62">
        <v>56</v>
      </c>
      <c r="D124" s="57">
        <v>4</v>
      </c>
      <c r="E124" s="56">
        <v>4</v>
      </c>
      <c r="F124" s="56">
        <v>2</v>
      </c>
      <c r="G124" s="25" t="s">
        <v>19</v>
      </c>
      <c r="H124" s="17">
        <v>1.355</v>
      </c>
      <c r="I124" s="17">
        <v>0.31</v>
      </c>
      <c r="J124" s="17">
        <v>5.03</v>
      </c>
      <c r="K124" s="18">
        <v>19.2</v>
      </c>
      <c r="L124" s="18">
        <v>32.799999999999997</v>
      </c>
      <c r="M124" s="18">
        <v>9</v>
      </c>
    </row>
    <row r="125" spans="1:13" ht="15.75" customHeight="1" x14ac:dyDescent="0.3">
      <c r="A125" s="66">
        <v>123</v>
      </c>
      <c r="B125" s="26" t="s">
        <v>134</v>
      </c>
      <c r="C125" s="59">
        <v>293</v>
      </c>
      <c r="D125" s="21" t="s">
        <v>24</v>
      </c>
      <c r="E125" s="21" t="s">
        <v>24</v>
      </c>
      <c r="F125" s="58">
        <v>2</v>
      </c>
      <c r="G125" s="20" t="s">
        <v>25</v>
      </c>
      <c r="H125" s="22">
        <v>0.91500000000000004</v>
      </c>
      <c r="I125" s="22">
        <v>0.94</v>
      </c>
      <c r="J125" s="22">
        <v>5.01</v>
      </c>
      <c r="K125" s="23">
        <v>22.2</v>
      </c>
      <c r="L125" s="23">
        <v>29.9</v>
      </c>
      <c r="M125" s="23">
        <v>5</v>
      </c>
    </row>
    <row r="126" spans="1:13" ht="15.75" customHeight="1" x14ac:dyDescent="0.3">
      <c r="A126" s="65">
        <v>124</v>
      </c>
      <c r="B126" s="14" t="s">
        <v>248</v>
      </c>
      <c r="C126" s="56">
        <v>179</v>
      </c>
      <c r="D126" s="56">
        <v>3</v>
      </c>
      <c r="E126" s="56">
        <v>2</v>
      </c>
      <c r="F126" s="56">
        <v>2</v>
      </c>
      <c r="G126" s="25" t="s">
        <v>19</v>
      </c>
      <c r="H126" s="17">
        <v>1.353</v>
      </c>
      <c r="I126" s="17">
        <v>0.99</v>
      </c>
      <c r="J126" s="17">
        <v>5.51</v>
      </c>
      <c r="K126" s="18">
        <v>19.2</v>
      </c>
      <c r="L126" s="18">
        <v>32.799999999999997</v>
      </c>
      <c r="M126" s="18">
        <v>3</v>
      </c>
    </row>
    <row r="127" spans="1:13" ht="15.75" customHeight="1" x14ac:dyDescent="0.3">
      <c r="A127" s="65">
        <v>125</v>
      </c>
      <c r="B127" s="14" t="s">
        <v>58</v>
      </c>
      <c r="C127" s="57">
        <v>485</v>
      </c>
      <c r="D127" s="57">
        <v>3</v>
      </c>
      <c r="E127" s="57">
        <v>4</v>
      </c>
      <c r="F127" s="56">
        <v>2</v>
      </c>
      <c r="G127" s="25" t="s">
        <v>19</v>
      </c>
      <c r="H127" s="17">
        <v>1.5469999999999999</v>
      </c>
      <c r="I127" s="17">
        <v>1.89</v>
      </c>
      <c r="J127" s="17">
        <v>5.27</v>
      </c>
      <c r="K127" s="18">
        <v>11</v>
      </c>
      <c r="L127" s="18">
        <v>43.6</v>
      </c>
      <c r="M127" s="18">
        <v>5</v>
      </c>
    </row>
    <row r="128" spans="1:13" ht="15.75" customHeight="1" x14ac:dyDescent="0.3">
      <c r="A128" s="65">
        <v>126</v>
      </c>
      <c r="B128" s="14" t="s">
        <v>249</v>
      </c>
      <c r="C128" s="56">
        <v>223</v>
      </c>
      <c r="D128" s="56">
        <v>3</v>
      </c>
      <c r="E128" s="57">
        <v>4</v>
      </c>
      <c r="F128" s="56">
        <v>2</v>
      </c>
      <c r="G128" s="25" t="s">
        <v>19</v>
      </c>
      <c r="H128" s="17">
        <v>0.82599999999999996</v>
      </c>
      <c r="I128" s="17">
        <v>0.47</v>
      </c>
      <c r="J128" s="17">
        <v>5.65</v>
      </c>
      <c r="K128" s="18">
        <v>19</v>
      </c>
      <c r="L128" s="18">
        <v>32</v>
      </c>
      <c r="M128" s="18">
        <v>5</v>
      </c>
    </row>
    <row r="129" spans="1:13" ht="15.75" customHeight="1" x14ac:dyDescent="0.3">
      <c r="A129" s="66">
        <v>127</v>
      </c>
      <c r="B129" s="26" t="s">
        <v>123</v>
      </c>
      <c r="C129" s="58">
        <v>651</v>
      </c>
      <c r="D129" s="21" t="s">
        <v>24</v>
      </c>
      <c r="E129" s="21" t="s">
        <v>24</v>
      </c>
      <c r="F129" s="58">
        <v>2</v>
      </c>
      <c r="G129" s="20" t="s">
        <v>25</v>
      </c>
      <c r="H129" s="22">
        <v>1.504</v>
      </c>
      <c r="I129" s="22">
        <v>1.47</v>
      </c>
      <c r="J129" s="22">
        <v>5.32</v>
      </c>
      <c r="K129" s="23">
        <v>26</v>
      </c>
      <c r="L129" s="23">
        <v>38.5</v>
      </c>
      <c r="M129" s="23">
        <v>5</v>
      </c>
    </row>
    <row r="130" spans="1:13" ht="15.75" customHeight="1" x14ac:dyDescent="0.3">
      <c r="A130" s="65">
        <v>128</v>
      </c>
      <c r="B130" s="14" t="s">
        <v>250</v>
      </c>
      <c r="C130" s="61">
        <v>32</v>
      </c>
      <c r="D130" s="56">
        <v>3</v>
      </c>
      <c r="E130" s="56">
        <v>2</v>
      </c>
      <c r="F130" s="56">
        <v>2</v>
      </c>
      <c r="G130" s="25" t="s">
        <v>19</v>
      </c>
      <c r="H130" s="17">
        <v>2.2909999999999999</v>
      </c>
      <c r="I130" s="17">
        <v>0.6</v>
      </c>
      <c r="J130" s="17">
        <v>4.96</v>
      </c>
      <c r="K130" s="18">
        <v>19.2</v>
      </c>
      <c r="L130" s="18">
        <v>32.799999999999997</v>
      </c>
      <c r="M130" s="18">
        <v>4</v>
      </c>
    </row>
    <row r="131" spans="1:13" ht="15.75" customHeight="1" x14ac:dyDescent="0.3">
      <c r="A131" s="65">
        <v>129</v>
      </c>
      <c r="B131" s="14" t="s">
        <v>251</v>
      </c>
      <c r="C131" s="57">
        <v>389</v>
      </c>
      <c r="D131" s="57">
        <v>4</v>
      </c>
      <c r="E131" s="67">
        <v>4</v>
      </c>
      <c r="F131" s="56">
        <v>2</v>
      </c>
      <c r="G131" s="25" t="s">
        <v>19</v>
      </c>
      <c r="H131" s="17">
        <v>0.90500000000000003</v>
      </c>
      <c r="I131" s="17">
        <v>1.42</v>
      </c>
      <c r="J131" s="17">
        <v>4.4800000000000004</v>
      </c>
      <c r="K131" s="18">
        <v>6.4</v>
      </c>
      <c r="L131" s="18">
        <v>42.7</v>
      </c>
      <c r="M131" s="18">
        <v>6</v>
      </c>
    </row>
    <row r="132" spans="1:13" ht="15.75" customHeight="1" x14ac:dyDescent="0.3">
      <c r="A132" s="65">
        <v>130</v>
      </c>
      <c r="B132" s="14" t="s">
        <v>125</v>
      </c>
      <c r="C132" s="57">
        <v>672</v>
      </c>
      <c r="D132" s="57">
        <v>3</v>
      </c>
      <c r="E132" s="57">
        <v>2</v>
      </c>
      <c r="F132" s="56">
        <v>2</v>
      </c>
      <c r="G132" s="25" t="s">
        <v>19</v>
      </c>
      <c r="H132" s="17">
        <v>0.78500000000000003</v>
      </c>
      <c r="I132" s="17">
        <v>1.19</v>
      </c>
      <c r="J132" s="17">
        <v>5.91</v>
      </c>
      <c r="K132" s="18">
        <v>9.6999999999999993</v>
      </c>
      <c r="L132" s="18">
        <v>34.799999999999997</v>
      </c>
      <c r="M132" s="18">
        <v>5</v>
      </c>
    </row>
    <row r="133" spans="1:13" ht="15.75" customHeight="1" x14ac:dyDescent="0.3">
      <c r="A133" s="66">
        <v>131</v>
      </c>
      <c r="B133" s="26" t="s">
        <v>127</v>
      </c>
      <c r="C133" s="59">
        <v>708</v>
      </c>
      <c r="D133" s="21" t="s">
        <v>24</v>
      </c>
      <c r="E133" s="21" t="s">
        <v>24</v>
      </c>
      <c r="F133" s="58">
        <v>2</v>
      </c>
      <c r="G133" s="20" t="s">
        <v>25</v>
      </c>
      <c r="H133" s="22">
        <v>1.18</v>
      </c>
      <c r="I133" s="22">
        <v>2.02</v>
      </c>
      <c r="J133" s="22">
        <v>4.9800000000000004</v>
      </c>
      <c r="K133" s="23">
        <v>17.399999999999999</v>
      </c>
      <c r="L133" s="23">
        <v>34.799999999999997</v>
      </c>
      <c r="M133" s="23">
        <v>6</v>
      </c>
    </row>
    <row r="134" spans="1:13" ht="15.75" customHeight="1" x14ac:dyDescent="0.3">
      <c r="A134" s="65">
        <v>132</v>
      </c>
      <c r="B134" s="14" t="s">
        <v>252</v>
      </c>
      <c r="C134" s="56">
        <v>91</v>
      </c>
      <c r="D134" s="56">
        <v>5</v>
      </c>
      <c r="E134" s="56">
        <v>5</v>
      </c>
      <c r="F134" s="56">
        <v>2</v>
      </c>
      <c r="G134" s="25" t="s">
        <v>19</v>
      </c>
      <c r="H134" s="17">
        <v>1.631</v>
      </c>
      <c r="I134" s="17">
        <v>1.31</v>
      </c>
      <c r="J134" s="17">
        <v>5.32</v>
      </c>
      <c r="K134" s="18">
        <v>19.2</v>
      </c>
      <c r="L134" s="18">
        <v>32.799999999999997</v>
      </c>
      <c r="M134" s="18">
        <v>5</v>
      </c>
    </row>
    <row r="135" spans="1:13" ht="15.75" customHeight="1" x14ac:dyDescent="0.3">
      <c r="A135" s="66">
        <v>133</v>
      </c>
      <c r="B135" s="26" t="s">
        <v>253</v>
      </c>
      <c r="C135" s="58">
        <v>20</v>
      </c>
      <c r="D135" s="21" t="s">
        <v>24</v>
      </c>
      <c r="E135" s="21" t="s">
        <v>24</v>
      </c>
      <c r="F135" s="58">
        <v>2</v>
      </c>
      <c r="G135" s="20" t="s">
        <v>25</v>
      </c>
      <c r="H135" s="22">
        <v>3.25</v>
      </c>
      <c r="I135" s="22">
        <v>0.18</v>
      </c>
      <c r="J135" s="22">
        <v>1.45</v>
      </c>
      <c r="K135" s="23">
        <v>19.2</v>
      </c>
      <c r="L135" s="23">
        <v>32.799999999999997</v>
      </c>
      <c r="M135" s="23">
        <v>6</v>
      </c>
    </row>
    <row r="136" spans="1:13" ht="15.75" customHeight="1" x14ac:dyDescent="0.3">
      <c r="A136" s="65">
        <v>134</v>
      </c>
      <c r="B136" s="14" t="s">
        <v>68</v>
      </c>
      <c r="C136" s="57">
        <v>438</v>
      </c>
      <c r="D136" s="57">
        <v>5</v>
      </c>
      <c r="E136" s="57">
        <v>5</v>
      </c>
      <c r="F136" s="56">
        <v>2</v>
      </c>
      <c r="G136" s="25" t="s">
        <v>19</v>
      </c>
      <c r="H136" s="17">
        <v>1.506</v>
      </c>
      <c r="I136" s="17">
        <v>0.88</v>
      </c>
      <c r="J136" s="17">
        <v>5.58</v>
      </c>
      <c r="K136" s="18">
        <v>30.8</v>
      </c>
      <c r="L136" s="18">
        <v>26.6</v>
      </c>
      <c r="M136" s="18">
        <v>4</v>
      </c>
    </row>
    <row r="137" spans="1:13" ht="15.75" customHeight="1" x14ac:dyDescent="0.3">
      <c r="A137" s="65">
        <v>135</v>
      </c>
      <c r="B137" s="14" t="s">
        <v>254</v>
      </c>
      <c r="C137" s="56">
        <v>100</v>
      </c>
      <c r="D137" s="56">
        <v>3</v>
      </c>
      <c r="E137" s="56">
        <v>2</v>
      </c>
      <c r="F137" s="56">
        <v>2</v>
      </c>
      <c r="G137" s="25" t="s">
        <v>19</v>
      </c>
      <c r="H137" s="17">
        <v>0.81799999999999995</v>
      </c>
      <c r="I137" s="17">
        <v>1.01</v>
      </c>
      <c r="J137" s="17">
        <v>5.96</v>
      </c>
      <c r="K137" s="18">
        <v>19.2</v>
      </c>
      <c r="L137" s="18">
        <v>32.799999999999997</v>
      </c>
      <c r="M137" s="18">
        <v>8</v>
      </c>
    </row>
    <row r="138" spans="1:13" ht="15.75" customHeight="1" x14ac:dyDescent="0.3">
      <c r="A138" s="65">
        <v>136</v>
      </c>
      <c r="B138" s="14" t="s">
        <v>55</v>
      </c>
      <c r="C138" s="57">
        <v>237</v>
      </c>
      <c r="D138" s="57">
        <v>4</v>
      </c>
      <c r="E138" s="56">
        <v>3</v>
      </c>
      <c r="F138" s="56">
        <v>2</v>
      </c>
      <c r="G138" s="25" t="s">
        <v>19</v>
      </c>
      <c r="H138" s="17">
        <v>1.1359999999999999</v>
      </c>
      <c r="I138" s="17">
        <v>0.57999999999999996</v>
      </c>
      <c r="J138" s="17">
        <v>4.68</v>
      </c>
      <c r="K138" s="18">
        <v>19.2</v>
      </c>
      <c r="L138" s="18">
        <v>32.799999999999997</v>
      </c>
      <c r="M138" s="18">
        <v>5</v>
      </c>
    </row>
    <row r="139" spans="1:13" ht="15.75" customHeight="1" x14ac:dyDescent="0.3">
      <c r="A139" s="65">
        <v>137</v>
      </c>
      <c r="B139" s="14" t="s">
        <v>79</v>
      </c>
      <c r="C139" s="56">
        <v>470</v>
      </c>
      <c r="D139" s="56">
        <v>5</v>
      </c>
      <c r="E139" s="57">
        <v>5</v>
      </c>
      <c r="F139" s="56">
        <v>2</v>
      </c>
      <c r="G139" s="25" t="s">
        <v>19</v>
      </c>
      <c r="H139" s="17">
        <v>0.82799999999999996</v>
      </c>
      <c r="I139" s="17">
        <v>0.69</v>
      </c>
      <c r="J139" s="17">
        <v>6.96</v>
      </c>
      <c r="K139" s="18">
        <v>30</v>
      </c>
      <c r="L139" s="18">
        <v>25</v>
      </c>
      <c r="M139" s="18">
        <v>5</v>
      </c>
    </row>
    <row r="140" spans="1:13" ht="15.75" customHeight="1" x14ac:dyDescent="0.3">
      <c r="A140" s="66">
        <v>138</v>
      </c>
      <c r="B140" s="26" t="s">
        <v>85</v>
      </c>
      <c r="C140" s="58">
        <v>215</v>
      </c>
      <c r="D140" s="21" t="s">
        <v>24</v>
      </c>
      <c r="E140" s="21" t="s">
        <v>24</v>
      </c>
      <c r="F140" s="58">
        <v>2</v>
      </c>
      <c r="G140" s="20" t="s">
        <v>25</v>
      </c>
      <c r="H140" s="22">
        <v>0.65600000000000003</v>
      </c>
      <c r="I140" s="22">
        <v>1.0900000000000001</v>
      </c>
      <c r="J140" s="22">
        <v>5.67</v>
      </c>
      <c r="K140" s="23">
        <v>19.2</v>
      </c>
      <c r="L140" s="23">
        <v>32.799999999999997</v>
      </c>
      <c r="M140" s="23">
        <v>4.5</v>
      </c>
    </row>
    <row r="141" spans="1:13" ht="15.75" customHeight="1" x14ac:dyDescent="0.3">
      <c r="A141" s="66">
        <v>139</v>
      </c>
      <c r="B141" s="26" t="s">
        <v>57</v>
      </c>
      <c r="C141" s="58">
        <v>992</v>
      </c>
      <c r="D141" s="21" t="s">
        <v>24</v>
      </c>
      <c r="E141" s="21" t="s">
        <v>24</v>
      </c>
      <c r="F141" s="58">
        <v>2</v>
      </c>
      <c r="G141" s="20" t="s">
        <v>25</v>
      </c>
      <c r="H141" s="22">
        <v>0.63200000000000001</v>
      </c>
      <c r="I141" s="22">
        <v>1.75</v>
      </c>
      <c r="J141" s="22">
        <v>5.09</v>
      </c>
      <c r="K141" s="23">
        <v>15.6</v>
      </c>
      <c r="L141" s="23">
        <v>29.1</v>
      </c>
      <c r="M141" s="23">
        <v>4</v>
      </c>
    </row>
    <row r="142" spans="1:13" ht="15.75" customHeight="1" x14ac:dyDescent="0.3">
      <c r="A142" s="65">
        <v>140</v>
      </c>
      <c r="B142" s="14" t="s">
        <v>255</v>
      </c>
      <c r="C142" s="56">
        <v>163</v>
      </c>
      <c r="D142" s="56">
        <v>3</v>
      </c>
      <c r="E142" s="56">
        <v>3</v>
      </c>
      <c r="F142" s="56">
        <v>2</v>
      </c>
      <c r="G142" s="25" t="s">
        <v>19</v>
      </c>
      <c r="H142" s="17">
        <v>1.7170000000000001</v>
      </c>
      <c r="I142" s="17">
        <v>0.97</v>
      </c>
      <c r="J142" s="17">
        <v>4.95</v>
      </c>
      <c r="K142" s="18">
        <v>19.2</v>
      </c>
      <c r="L142" s="18">
        <v>32.799999999999997</v>
      </c>
      <c r="M142" s="18">
        <v>4</v>
      </c>
    </row>
    <row r="143" spans="1:13" ht="15.75" customHeight="1" x14ac:dyDescent="0.3">
      <c r="A143" s="65">
        <v>141</v>
      </c>
      <c r="B143" s="14" t="s">
        <v>128</v>
      </c>
      <c r="C143" s="56">
        <v>126</v>
      </c>
      <c r="D143" s="56">
        <v>4</v>
      </c>
      <c r="E143" s="56">
        <v>5</v>
      </c>
      <c r="F143" s="56">
        <v>2</v>
      </c>
      <c r="G143" s="25" t="s">
        <v>19</v>
      </c>
      <c r="H143" s="17">
        <v>0.68799999999999994</v>
      </c>
      <c r="I143" s="17">
        <v>0.67</v>
      </c>
      <c r="J143" s="17">
        <v>5.6</v>
      </c>
      <c r="K143" s="18">
        <v>19.2</v>
      </c>
      <c r="L143" s="18">
        <v>32.799999999999997</v>
      </c>
      <c r="M143" s="18">
        <v>5</v>
      </c>
    </row>
    <row r="144" spans="1:13" ht="15.75" customHeight="1" x14ac:dyDescent="0.3">
      <c r="A144" s="65">
        <v>142</v>
      </c>
      <c r="B144" s="14" t="s">
        <v>256</v>
      </c>
      <c r="C144" s="61">
        <v>65</v>
      </c>
      <c r="D144" s="56">
        <v>3</v>
      </c>
      <c r="E144" s="56">
        <v>4</v>
      </c>
      <c r="F144" s="56">
        <v>2</v>
      </c>
      <c r="G144" s="25" t="s">
        <v>19</v>
      </c>
      <c r="H144" s="17">
        <v>2.4289999999999998</v>
      </c>
      <c r="I144" s="17">
        <v>0.46</v>
      </c>
      <c r="J144" s="17">
        <v>3.63</v>
      </c>
      <c r="K144" s="18">
        <v>19.2</v>
      </c>
      <c r="L144" s="18">
        <v>32.799999999999997</v>
      </c>
      <c r="M144" s="18">
        <v>5</v>
      </c>
    </row>
    <row r="145" spans="1:13" ht="15.75" customHeight="1" x14ac:dyDescent="0.3">
      <c r="A145" s="65">
        <v>143</v>
      </c>
      <c r="B145" s="14" t="s">
        <v>257</v>
      </c>
      <c r="C145" s="57">
        <v>634</v>
      </c>
      <c r="D145" s="57">
        <v>5</v>
      </c>
      <c r="E145" s="57">
        <v>5</v>
      </c>
      <c r="F145" s="56">
        <v>2</v>
      </c>
      <c r="G145" s="25" t="s">
        <v>19</v>
      </c>
      <c r="H145" s="17">
        <v>0.87</v>
      </c>
      <c r="I145" s="17">
        <v>1.79</v>
      </c>
      <c r="J145" s="17">
        <v>5.48</v>
      </c>
      <c r="K145" s="18">
        <v>7.5</v>
      </c>
      <c r="L145" s="18">
        <v>39.700000000000003</v>
      </c>
      <c r="M145" s="18">
        <v>4</v>
      </c>
    </row>
    <row r="146" spans="1:13" ht="15.75" customHeight="1" x14ac:dyDescent="0.3">
      <c r="A146" s="66">
        <v>144</v>
      </c>
      <c r="B146" s="26" t="s">
        <v>258</v>
      </c>
      <c r="C146" s="58">
        <v>92</v>
      </c>
      <c r="D146" s="21" t="s">
        <v>24</v>
      </c>
      <c r="E146" s="21" t="s">
        <v>24</v>
      </c>
      <c r="F146" s="58">
        <v>2</v>
      </c>
      <c r="G146" s="20" t="s">
        <v>25</v>
      </c>
      <c r="H146" s="22">
        <v>1.41</v>
      </c>
      <c r="I146" s="22">
        <v>0.69</v>
      </c>
      <c r="J146" s="22">
        <v>1.65</v>
      </c>
      <c r="K146" s="23">
        <v>19.2</v>
      </c>
      <c r="L146" s="23">
        <v>32.799999999999997</v>
      </c>
      <c r="M146" s="23">
        <v>7</v>
      </c>
    </row>
    <row r="147" spans="1:13" ht="15.75" customHeight="1" x14ac:dyDescent="0.3">
      <c r="A147" s="65">
        <v>145</v>
      </c>
      <c r="B147" s="14" t="s">
        <v>99</v>
      </c>
      <c r="C147" s="56">
        <v>394</v>
      </c>
      <c r="D147" s="56">
        <v>4</v>
      </c>
      <c r="E147" s="57">
        <v>4</v>
      </c>
      <c r="F147" s="56">
        <v>2</v>
      </c>
      <c r="G147" s="25" t="s">
        <v>19</v>
      </c>
      <c r="H147" s="17">
        <v>0.70799999999999996</v>
      </c>
      <c r="I147" s="17">
        <v>0.98</v>
      </c>
      <c r="J147" s="17">
        <v>6.16</v>
      </c>
      <c r="K147" s="18">
        <v>19.5</v>
      </c>
      <c r="L147" s="18">
        <v>20.7</v>
      </c>
      <c r="M147" s="18">
        <v>3</v>
      </c>
    </row>
    <row r="148" spans="1:13" ht="15.75" customHeight="1" x14ac:dyDescent="0.3">
      <c r="A148" s="66">
        <v>146</v>
      </c>
      <c r="B148" s="26" t="s">
        <v>92</v>
      </c>
      <c r="C148" s="58">
        <v>552</v>
      </c>
      <c r="D148" s="21" t="s">
        <v>24</v>
      </c>
      <c r="E148" s="21" t="s">
        <v>24</v>
      </c>
      <c r="F148" s="58">
        <v>2</v>
      </c>
      <c r="G148" s="20" t="s">
        <v>25</v>
      </c>
      <c r="H148" s="22">
        <v>1.089</v>
      </c>
      <c r="I148" s="22">
        <v>0.95</v>
      </c>
      <c r="J148" s="22">
        <v>5.1100000000000003</v>
      </c>
      <c r="K148" s="23">
        <v>40.1</v>
      </c>
      <c r="L148" s="23">
        <v>27.7</v>
      </c>
      <c r="M148" s="23">
        <v>6</v>
      </c>
    </row>
    <row r="149" spans="1:13" ht="15.75" customHeight="1" x14ac:dyDescent="0.3">
      <c r="A149" s="65">
        <v>147</v>
      </c>
      <c r="B149" s="14" t="s">
        <v>259</v>
      </c>
      <c r="C149" s="57">
        <v>403</v>
      </c>
      <c r="D149" s="57">
        <v>5</v>
      </c>
      <c r="E149" s="57">
        <v>5</v>
      </c>
      <c r="F149" s="56">
        <v>2</v>
      </c>
      <c r="G149" s="25" t="s">
        <v>19</v>
      </c>
      <c r="H149" s="17">
        <v>0.98499999999999999</v>
      </c>
      <c r="I149" s="17">
        <v>1.2</v>
      </c>
      <c r="J149" s="17">
        <v>5.61</v>
      </c>
      <c r="K149" s="18">
        <v>13.4</v>
      </c>
      <c r="L149" s="18">
        <v>29.1</v>
      </c>
      <c r="M149" s="18">
        <v>7</v>
      </c>
    </row>
    <row r="150" spans="1:13" ht="15.75" customHeight="1" x14ac:dyDescent="0.3">
      <c r="A150" s="66">
        <v>148</v>
      </c>
      <c r="B150" s="26" t="s">
        <v>260</v>
      </c>
      <c r="C150" s="58">
        <v>854</v>
      </c>
      <c r="D150" s="21" t="s">
        <v>24</v>
      </c>
      <c r="E150" s="21" t="s">
        <v>24</v>
      </c>
      <c r="F150" s="58">
        <v>2</v>
      </c>
      <c r="G150" s="20" t="s">
        <v>25</v>
      </c>
      <c r="H150" s="21"/>
      <c r="I150" s="22">
        <v>2.39</v>
      </c>
      <c r="J150" s="22">
        <v>5.0199999999999996</v>
      </c>
      <c r="K150" s="23">
        <v>19</v>
      </c>
      <c r="L150" s="23">
        <v>42.6</v>
      </c>
      <c r="M150" s="23">
        <v>6</v>
      </c>
    </row>
    <row r="151" spans="1:13" ht="15.75" customHeight="1" x14ac:dyDescent="0.3">
      <c r="A151" s="65">
        <v>149</v>
      </c>
      <c r="B151" s="14" t="s">
        <v>261</v>
      </c>
      <c r="C151" s="56">
        <v>467</v>
      </c>
      <c r="D151" s="56">
        <v>4</v>
      </c>
      <c r="E151" s="57">
        <v>4</v>
      </c>
      <c r="F151" s="56">
        <v>2</v>
      </c>
      <c r="G151" s="25" t="s">
        <v>19</v>
      </c>
      <c r="H151" s="17">
        <v>0.73499999999999999</v>
      </c>
      <c r="I151" s="17">
        <v>1.97</v>
      </c>
      <c r="J151" s="17">
        <v>4.1900000000000004</v>
      </c>
      <c r="K151" s="18">
        <v>13.8</v>
      </c>
      <c r="L151" s="18">
        <v>33.299999999999997</v>
      </c>
      <c r="M151" s="18">
        <v>4</v>
      </c>
    </row>
    <row r="152" spans="1:13" ht="15.75" customHeight="1" x14ac:dyDescent="0.3">
      <c r="A152" s="65">
        <v>150</v>
      </c>
      <c r="B152" s="14" t="s">
        <v>262</v>
      </c>
      <c r="C152" s="68">
        <v>767</v>
      </c>
      <c r="D152" s="68">
        <v>4</v>
      </c>
      <c r="E152" s="57">
        <v>5</v>
      </c>
      <c r="F152" s="56">
        <v>2</v>
      </c>
      <c r="G152" s="25" t="s">
        <v>19</v>
      </c>
      <c r="H152" s="17">
        <v>1.387</v>
      </c>
      <c r="I152" s="17">
        <v>1.37</v>
      </c>
      <c r="J152" s="17">
        <v>3.84</v>
      </c>
      <c r="K152" s="18">
        <v>23.6</v>
      </c>
      <c r="L152" s="18">
        <v>32.4</v>
      </c>
      <c r="M152" s="18">
        <v>5</v>
      </c>
    </row>
    <row r="153" spans="1:13" ht="15.75" customHeight="1" x14ac:dyDescent="0.3">
      <c r="A153" s="65">
        <v>151</v>
      </c>
      <c r="B153" s="14" t="s">
        <v>263</v>
      </c>
      <c r="C153" s="57">
        <v>87</v>
      </c>
      <c r="D153" s="57">
        <v>4</v>
      </c>
      <c r="E153" s="56">
        <v>3</v>
      </c>
      <c r="F153" s="56">
        <v>2</v>
      </c>
      <c r="G153" s="25" t="s">
        <v>19</v>
      </c>
      <c r="H153" s="17">
        <v>1.38</v>
      </c>
      <c r="I153" s="17">
        <v>0.38</v>
      </c>
      <c r="J153" s="17">
        <v>5.25</v>
      </c>
      <c r="K153" s="18">
        <v>19.2</v>
      </c>
      <c r="L153" s="18">
        <v>32.799999999999997</v>
      </c>
      <c r="M153" s="18">
        <v>5</v>
      </c>
    </row>
    <row r="154" spans="1:13" ht="15.75" customHeight="1" x14ac:dyDescent="0.3">
      <c r="A154" s="66">
        <v>152</v>
      </c>
      <c r="B154" s="26" t="s">
        <v>264</v>
      </c>
      <c r="C154" s="59">
        <v>28</v>
      </c>
      <c r="D154" s="21" t="s">
        <v>24</v>
      </c>
      <c r="E154" s="21" t="s">
        <v>24</v>
      </c>
      <c r="F154" s="58">
        <v>2</v>
      </c>
      <c r="G154" s="20" t="s">
        <v>25</v>
      </c>
      <c r="H154" s="22">
        <v>0.85099999999999998</v>
      </c>
      <c r="I154" s="22">
        <v>0.25</v>
      </c>
      <c r="J154" s="22">
        <v>3.99</v>
      </c>
      <c r="K154" s="23">
        <v>19.2</v>
      </c>
      <c r="L154" s="23">
        <v>32.799999999999997</v>
      </c>
      <c r="M154" s="23">
        <v>9</v>
      </c>
    </row>
    <row r="155" spans="1:13" ht="15.75" customHeight="1" x14ac:dyDescent="0.3">
      <c r="A155" s="65">
        <v>153</v>
      </c>
      <c r="B155" s="14" t="s">
        <v>265</v>
      </c>
      <c r="C155" s="56">
        <v>85</v>
      </c>
      <c r="D155" s="56">
        <v>3</v>
      </c>
      <c r="E155" s="56">
        <v>3</v>
      </c>
      <c r="F155" s="56">
        <v>2</v>
      </c>
      <c r="G155" s="25" t="s">
        <v>19</v>
      </c>
      <c r="H155" s="15"/>
      <c r="I155" s="17">
        <v>0.99</v>
      </c>
      <c r="J155" s="17">
        <v>9.0399999999999991</v>
      </c>
      <c r="K155" s="18">
        <v>19.2</v>
      </c>
      <c r="L155" s="18">
        <v>32.799999999999997</v>
      </c>
      <c r="M155" s="18">
        <v>5</v>
      </c>
    </row>
    <row r="156" spans="1:13" ht="15.75" customHeight="1" x14ac:dyDescent="0.3">
      <c r="A156" s="65">
        <v>154</v>
      </c>
      <c r="B156" s="14" t="s">
        <v>117</v>
      </c>
      <c r="C156" s="56">
        <v>140</v>
      </c>
      <c r="D156" s="56">
        <v>3</v>
      </c>
      <c r="E156" s="56">
        <v>3</v>
      </c>
      <c r="F156" s="56">
        <v>2</v>
      </c>
      <c r="G156" s="25" t="s">
        <v>19</v>
      </c>
      <c r="H156" s="17">
        <v>3.27</v>
      </c>
      <c r="I156" s="17">
        <v>0.21</v>
      </c>
      <c r="J156" s="17">
        <v>7.78</v>
      </c>
      <c r="K156" s="18">
        <v>19.2</v>
      </c>
      <c r="L156" s="18">
        <v>32.799999999999997</v>
      </c>
      <c r="M156" s="18">
        <v>5</v>
      </c>
    </row>
    <row r="157" spans="1:13" ht="15.75" customHeight="1" x14ac:dyDescent="0.3">
      <c r="A157" s="65">
        <v>155</v>
      </c>
      <c r="B157" s="14" t="s">
        <v>266</v>
      </c>
      <c r="C157" s="56">
        <v>726</v>
      </c>
      <c r="D157" s="56">
        <v>4</v>
      </c>
      <c r="E157" s="57">
        <v>4</v>
      </c>
      <c r="F157" s="56">
        <v>2</v>
      </c>
      <c r="G157" s="25" t="s">
        <v>19</v>
      </c>
      <c r="H157" s="15"/>
      <c r="I157" s="17">
        <v>2.04</v>
      </c>
      <c r="J157" s="17">
        <v>4.12</v>
      </c>
      <c r="K157" s="18">
        <v>8</v>
      </c>
      <c r="L157" s="18">
        <v>38.200000000000003</v>
      </c>
      <c r="M157" s="18">
        <v>4.5</v>
      </c>
    </row>
    <row r="158" spans="1:13" ht="15.75" customHeight="1" x14ac:dyDescent="0.3">
      <c r="A158" s="66">
        <v>156</v>
      </c>
      <c r="B158" s="26" t="s">
        <v>86</v>
      </c>
      <c r="C158" s="58">
        <v>73</v>
      </c>
      <c r="D158" s="21" t="s">
        <v>24</v>
      </c>
      <c r="E158" s="21" t="s">
        <v>24</v>
      </c>
      <c r="F158" s="58">
        <v>2</v>
      </c>
      <c r="G158" s="20" t="s">
        <v>25</v>
      </c>
      <c r="H158" s="22">
        <v>0.65</v>
      </c>
      <c r="I158" s="22">
        <v>0.51</v>
      </c>
      <c r="J158" s="22">
        <v>5.45</v>
      </c>
      <c r="K158" s="23">
        <v>19.2</v>
      </c>
      <c r="L158" s="23">
        <v>32.799999999999997</v>
      </c>
      <c r="M158" s="23">
        <v>7</v>
      </c>
    </row>
    <row r="159" spans="1:13" ht="15.75" customHeight="1" x14ac:dyDescent="0.3">
      <c r="A159" s="66">
        <v>157</v>
      </c>
      <c r="B159" s="26" t="s">
        <v>267</v>
      </c>
      <c r="C159" s="58">
        <v>222</v>
      </c>
      <c r="D159" s="21" t="s">
        <v>24</v>
      </c>
      <c r="E159" s="21" t="s">
        <v>24</v>
      </c>
      <c r="F159" s="58">
        <v>2</v>
      </c>
      <c r="G159" s="20" t="s">
        <v>25</v>
      </c>
      <c r="H159" s="22">
        <v>1.2090000000000001</v>
      </c>
      <c r="I159" s="22">
        <v>0.96</v>
      </c>
      <c r="J159" s="22">
        <v>3.93</v>
      </c>
      <c r="K159" s="23">
        <v>19.2</v>
      </c>
      <c r="L159" s="23">
        <v>32.799999999999997</v>
      </c>
      <c r="M159" s="23">
        <v>4</v>
      </c>
    </row>
    <row r="160" spans="1:13" ht="15.75" customHeight="1" x14ac:dyDescent="0.3">
      <c r="A160" s="65">
        <v>158</v>
      </c>
      <c r="B160" s="14" t="s">
        <v>268</v>
      </c>
      <c r="C160" s="56">
        <v>380</v>
      </c>
      <c r="D160" s="56">
        <v>3</v>
      </c>
      <c r="E160" s="56">
        <v>3</v>
      </c>
      <c r="F160" s="56">
        <v>2</v>
      </c>
      <c r="G160" s="25" t="s">
        <v>19</v>
      </c>
      <c r="H160" s="15"/>
      <c r="I160" s="17">
        <v>2.12</v>
      </c>
      <c r="J160" s="17">
        <v>6.53</v>
      </c>
      <c r="K160" s="18">
        <v>11</v>
      </c>
      <c r="L160" s="18">
        <v>37</v>
      </c>
      <c r="M160" s="18">
        <v>4</v>
      </c>
    </row>
    <row r="161" spans="1:13" ht="15.75" customHeight="1" x14ac:dyDescent="0.3">
      <c r="A161" s="66">
        <v>159</v>
      </c>
      <c r="B161" s="26" t="s">
        <v>269</v>
      </c>
      <c r="C161" s="58">
        <v>121</v>
      </c>
      <c r="D161" s="21" t="s">
        <v>24</v>
      </c>
      <c r="E161" s="21" t="s">
        <v>24</v>
      </c>
      <c r="F161" s="58">
        <v>2</v>
      </c>
      <c r="G161" s="20" t="s">
        <v>25</v>
      </c>
      <c r="H161" s="22">
        <v>1.6020000000000001</v>
      </c>
      <c r="I161" s="22">
        <v>1.0900000000000001</v>
      </c>
      <c r="J161" s="22">
        <v>3.57</v>
      </c>
      <c r="K161" s="23">
        <v>19.2</v>
      </c>
      <c r="L161" s="23">
        <v>32.799999999999997</v>
      </c>
      <c r="M161" s="23">
        <v>7</v>
      </c>
    </row>
    <row r="162" spans="1:13" ht="15.75" customHeight="1" x14ac:dyDescent="0.3">
      <c r="A162" s="65">
        <v>160</v>
      </c>
      <c r="B162" s="14" t="s">
        <v>270</v>
      </c>
      <c r="C162" s="56">
        <v>201</v>
      </c>
      <c r="D162" s="56">
        <v>4</v>
      </c>
      <c r="E162" s="56">
        <v>4</v>
      </c>
      <c r="F162" s="56">
        <v>2</v>
      </c>
      <c r="G162" s="25" t="s">
        <v>19</v>
      </c>
      <c r="H162" s="17">
        <v>1.4970000000000001</v>
      </c>
      <c r="I162" s="17">
        <v>0.78</v>
      </c>
      <c r="J162" s="17">
        <v>4.8</v>
      </c>
      <c r="K162" s="18">
        <v>19.2</v>
      </c>
      <c r="L162" s="18">
        <v>32.799999999999997</v>
      </c>
      <c r="M162" s="18">
        <v>7</v>
      </c>
    </row>
    <row r="163" spans="1:13" ht="15.75" customHeight="1" x14ac:dyDescent="0.3">
      <c r="A163" s="65">
        <v>161</v>
      </c>
      <c r="B163" s="14" t="s">
        <v>271</v>
      </c>
      <c r="C163" s="56">
        <v>194</v>
      </c>
      <c r="D163" s="56">
        <v>3</v>
      </c>
      <c r="E163" s="56">
        <v>2</v>
      </c>
      <c r="F163" s="56">
        <v>2</v>
      </c>
      <c r="G163" s="25" t="s">
        <v>19</v>
      </c>
      <c r="H163" s="17">
        <v>1.5980000000000001</v>
      </c>
      <c r="I163" s="17">
        <v>0.77</v>
      </c>
      <c r="J163" s="17">
        <v>3.23</v>
      </c>
      <c r="K163" s="18">
        <v>19.2</v>
      </c>
      <c r="L163" s="18">
        <v>32.799999999999997</v>
      </c>
      <c r="M163" s="18">
        <v>5</v>
      </c>
    </row>
    <row r="164" spans="1:13" ht="15.75" customHeight="1" x14ac:dyDescent="0.3">
      <c r="A164" s="65">
        <v>162</v>
      </c>
      <c r="B164" s="14" t="s">
        <v>98</v>
      </c>
      <c r="C164" s="56">
        <v>269</v>
      </c>
      <c r="D164" s="56">
        <v>3</v>
      </c>
      <c r="E164" s="56">
        <v>4</v>
      </c>
      <c r="F164" s="56">
        <v>2</v>
      </c>
      <c r="G164" s="25" t="s">
        <v>19</v>
      </c>
      <c r="H164" s="17">
        <v>0.97399999999999998</v>
      </c>
      <c r="I164" s="17">
        <v>1.43</v>
      </c>
      <c r="J164" s="17">
        <v>3.51</v>
      </c>
      <c r="K164" s="18">
        <v>19.2</v>
      </c>
      <c r="L164" s="18">
        <v>32.799999999999997</v>
      </c>
      <c r="M164" s="18">
        <v>6</v>
      </c>
    </row>
    <row r="165" spans="1:13" ht="15.75" customHeight="1" x14ac:dyDescent="0.3">
      <c r="A165" s="65">
        <v>163</v>
      </c>
      <c r="B165" s="14" t="s">
        <v>272</v>
      </c>
      <c r="C165" s="56">
        <v>175</v>
      </c>
      <c r="D165" s="56">
        <v>5</v>
      </c>
      <c r="E165" s="56">
        <v>5</v>
      </c>
      <c r="F165" s="56">
        <v>2</v>
      </c>
      <c r="G165" s="25" t="s">
        <v>19</v>
      </c>
      <c r="H165" s="17">
        <v>0.73099999999999998</v>
      </c>
      <c r="I165" s="17">
        <v>0.66</v>
      </c>
      <c r="J165" s="17">
        <v>2.87</v>
      </c>
      <c r="K165" s="18">
        <v>19.2</v>
      </c>
      <c r="L165" s="18">
        <v>32.799999999999997</v>
      </c>
      <c r="M165" s="18">
        <v>4</v>
      </c>
    </row>
    <row r="166" spans="1:13" ht="15.75" customHeight="1" x14ac:dyDescent="0.3">
      <c r="A166" s="66">
        <v>164</v>
      </c>
      <c r="B166" s="26" t="s">
        <v>273</v>
      </c>
      <c r="C166" s="58">
        <v>243</v>
      </c>
      <c r="D166" s="21" t="s">
        <v>24</v>
      </c>
      <c r="E166" s="21" t="s">
        <v>24</v>
      </c>
      <c r="F166" s="58">
        <v>2</v>
      </c>
      <c r="G166" s="20" t="s">
        <v>25</v>
      </c>
      <c r="H166" s="22">
        <v>1.296</v>
      </c>
      <c r="I166" s="22">
        <v>0.98</v>
      </c>
      <c r="J166" s="22">
        <v>4.04</v>
      </c>
      <c r="K166" s="23">
        <v>19.2</v>
      </c>
      <c r="L166" s="23">
        <v>32.799999999999997</v>
      </c>
      <c r="M166" s="23">
        <v>7</v>
      </c>
    </row>
    <row r="167" spans="1:13" ht="15.75" customHeight="1" x14ac:dyDescent="0.3">
      <c r="A167" s="65">
        <v>165</v>
      </c>
      <c r="B167" s="14" t="s">
        <v>274</v>
      </c>
      <c r="C167" s="57">
        <v>150</v>
      </c>
      <c r="D167" s="57">
        <v>5</v>
      </c>
      <c r="E167" s="56">
        <v>5</v>
      </c>
      <c r="F167" s="56">
        <v>2</v>
      </c>
      <c r="G167" s="25" t="s">
        <v>19</v>
      </c>
      <c r="H167" s="17">
        <v>1.139</v>
      </c>
      <c r="I167" s="17">
        <v>1</v>
      </c>
      <c r="J167" s="17">
        <v>3.83</v>
      </c>
      <c r="K167" s="18">
        <v>19.2</v>
      </c>
      <c r="L167" s="18">
        <v>32.799999999999997</v>
      </c>
      <c r="M167" s="18">
        <v>4</v>
      </c>
    </row>
    <row r="168" spans="1:13" ht="15.75" customHeight="1" x14ac:dyDescent="0.3">
      <c r="A168" s="66">
        <v>166</v>
      </c>
      <c r="B168" s="26" t="s">
        <v>80</v>
      </c>
      <c r="C168" s="58">
        <v>280</v>
      </c>
      <c r="D168" s="21" t="s">
        <v>24</v>
      </c>
      <c r="E168" s="21" t="s">
        <v>24</v>
      </c>
      <c r="F168" s="58">
        <v>1</v>
      </c>
      <c r="G168" s="20" t="s">
        <v>25</v>
      </c>
      <c r="H168" s="22">
        <v>1.335</v>
      </c>
      <c r="I168" s="22">
        <v>0.94</v>
      </c>
      <c r="J168" s="22">
        <v>4.21</v>
      </c>
      <c r="K168" s="23">
        <v>28.7</v>
      </c>
      <c r="L168" s="23">
        <v>9.9</v>
      </c>
      <c r="M168" s="23">
        <v>7</v>
      </c>
    </row>
    <row r="169" spans="1:13" ht="15.75" customHeight="1" x14ac:dyDescent="0.3">
      <c r="A169" s="66">
        <v>167</v>
      </c>
      <c r="B169" s="26" t="s">
        <v>29</v>
      </c>
      <c r="C169" s="59">
        <v>139</v>
      </c>
      <c r="D169" s="21" t="s">
        <v>24</v>
      </c>
      <c r="E169" s="21" t="s">
        <v>24</v>
      </c>
      <c r="F169" s="58">
        <v>1</v>
      </c>
      <c r="G169" s="20" t="s">
        <v>25</v>
      </c>
      <c r="H169" s="22">
        <v>1.0449999999999999</v>
      </c>
      <c r="I169" s="22">
        <v>1.17</v>
      </c>
      <c r="J169" s="22">
        <v>8.44</v>
      </c>
      <c r="K169" s="23">
        <v>19.2</v>
      </c>
      <c r="L169" s="23">
        <v>32.799999999999997</v>
      </c>
      <c r="M169" s="23">
        <v>8</v>
      </c>
    </row>
    <row r="170" spans="1:13" ht="15.75" customHeight="1" x14ac:dyDescent="0.3">
      <c r="A170" s="65">
        <v>168</v>
      </c>
      <c r="B170" s="14" t="s">
        <v>275</v>
      </c>
      <c r="C170" s="57">
        <v>125</v>
      </c>
      <c r="D170" s="57">
        <v>5</v>
      </c>
      <c r="E170" s="56">
        <v>5</v>
      </c>
      <c r="F170" s="56">
        <v>1</v>
      </c>
      <c r="G170" s="25" t="s">
        <v>19</v>
      </c>
      <c r="H170" s="17">
        <v>0.70099999999999996</v>
      </c>
      <c r="I170" s="17">
        <v>0.38</v>
      </c>
      <c r="J170" s="17">
        <v>6.45</v>
      </c>
      <c r="K170" s="18">
        <v>19.2</v>
      </c>
      <c r="L170" s="18">
        <v>32.799999999999997</v>
      </c>
      <c r="M170" s="18">
        <v>7</v>
      </c>
    </row>
    <row r="171" spans="1:13" ht="15.75" customHeight="1" x14ac:dyDescent="0.3">
      <c r="A171" s="66">
        <v>169</v>
      </c>
      <c r="B171" s="26" t="s">
        <v>113</v>
      </c>
      <c r="C171" s="58">
        <v>181</v>
      </c>
      <c r="D171" s="21" t="s">
        <v>24</v>
      </c>
      <c r="E171" s="21" t="s">
        <v>24</v>
      </c>
      <c r="F171" s="58">
        <v>1</v>
      </c>
      <c r="G171" s="20" t="s">
        <v>25</v>
      </c>
      <c r="H171" s="22">
        <v>1.319</v>
      </c>
      <c r="I171" s="22">
        <v>0.65</v>
      </c>
      <c r="J171" s="22">
        <v>3.32</v>
      </c>
      <c r="K171" s="23">
        <v>19.2</v>
      </c>
      <c r="L171" s="23">
        <v>32.799999999999997</v>
      </c>
      <c r="M171" s="23">
        <v>3</v>
      </c>
    </row>
    <row r="172" spans="1:13" ht="15.75" customHeight="1" x14ac:dyDescent="0.3">
      <c r="A172" s="65">
        <v>170</v>
      </c>
      <c r="B172" s="14" t="s">
        <v>276</v>
      </c>
      <c r="C172" s="56">
        <v>379</v>
      </c>
      <c r="D172" s="56">
        <v>4</v>
      </c>
      <c r="E172" s="57">
        <v>5</v>
      </c>
      <c r="F172" s="56">
        <v>1</v>
      </c>
      <c r="G172" s="25" t="s">
        <v>19</v>
      </c>
      <c r="H172" s="15"/>
      <c r="I172" s="17">
        <v>0.9</v>
      </c>
      <c r="J172" s="17">
        <v>7.46</v>
      </c>
      <c r="K172" s="18">
        <v>19.2</v>
      </c>
      <c r="L172" s="18">
        <v>32.799999999999997</v>
      </c>
      <c r="M172" s="18">
        <v>4</v>
      </c>
    </row>
    <row r="173" spans="1:13" ht="15.75" customHeight="1" x14ac:dyDescent="0.3">
      <c r="A173" s="65">
        <v>171</v>
      </c>
      <c r="B173" s="14" t="s">
        <v>27</v>
      </c>
      <c r="C173" s="56">
        <v>388</v>
      </c>
      <c r="D173" s="56">
        <v>3</v>
      </c>
      <c r="E173" s="57">
        <v>3</v>
      </c>
      <c r="F173" s="56">
        <v>1</v>
      </c>
      <c r="G173" s="25" t="s">
        <v>19</v>
      </c>
      <c r="H173" s="17">
        <v>1.1040000000000001</v>
      </c>
      <c r="I173" s="17">
        <v>1.17</v>
      </c>
      <c r="J173" s="17">
        <v>5.71</v>
      </c>
      <c r="K173" s="18">
        <v>22.7</v>
      </c>
      <c r="L173" s="18">
        <v>20.6</v>
      </c>
      <c r="M173" s="18">
        <v>4</v>
      </c>
    </row>
    <row r="174" spans="1:13" ht="15.75" customHeight="1" x14ac:dyDescent="0.3">
      <c r="A174" s="65">
        <v>172</v>
      </c>
      <c r="B174" s="14" t="s">
        <v>110</v>
      </c>
      <c r="C174" s="56">
        <v>383</v>
      </c>
      <c r="D174" s="56">
        <v>5</v>
      </c>
      <c r="E174" s="57">
        <v>5</v>
      </c>
      <c r="F174" s="56">
        <v>1</v>
      </c>
      <c r="G174" s="25" t="s">
        <v>19</v>
      </c>
      <c r="H174" s="17">
        <v>1.431</v>
      </c>
      <c r="I174" s="17">
        <v>1.72</v>
      </c>
      <c r="J174" s="17">
        <v>2.74</v>
      </c>
      <c r="K174" s="18">
        <v>13.7</v>
      </c>
      <c r="L174" s="18">
        <v>41.7</v>
      </c>
      <c r="M174" s="18">
        <v>5</v>
      </c>
    </row>
    <row r="175" spans="1:13" ht="15.75" customHeight="1" x14ac:dyDescent="0.3">
      <c r="A175" s="65">
        <v>173</v>
      </c>
      <c r="B175" s="14" t="s">
        <v>277</v>
      </c>
      <c r="C175" s="57">
        <v>601</v>
      </c>
      <c r="D175" s="57">
        <v>5</v>
      </c>
      <c r="E175" s="57">
        <v>5</v>
      </c>
      <c r="F175" s="56">
        <v>1</v>
      </c>
      <c r="G175" s="25" t="s">
        <v>19</v>
      </c>
      <c r="H175" s="17">
        <v>1.1559999999999999</v>
      </c>
      <c r="I175" s="17">
        <v>1.07</v>
      </c>
      <c r="J175" s="17">
        <v>3.58</v>
      </c>
      <c r="K175" s="18">
        <v>13.8</v>
      </c>
      <c r="L175" s="18">
        <v>29.8</v>
      </c>
      <c r="M175" s="18">
        <v>4</v>
      </c>
    </row>
    <row r="176" spans="1:13" ht="15.75" customHeight="1" x14ac:dyDescent="0.3">
      <c r="A176" s="65">
        <v>174</v>
      </c>
      <c r="B176" s="14" t="s">
        <v>67</v>
      </c>
      <c r="C176" s="56">
        <v>256</v>
      </c>
      <c r="D176" s="56">
        <v>4</v>
      </c>
      <c r="E176" s="57">
        <v>3</v>
      </c>
      <c r="F176" s="56">
        <v>1</v>
      </c>
      <c r="G176" s="25" t="s">
        <v>19</v>
      </c>
      <c r="H176" s="17">
        <v>1.8640000000000001</v>
      </c>
      <c r="I176" s="17">
        <v>0.69</v>
      </c>
      <c r="J176" s="17">
        <v>3.64</v>
      </c>
      <c r="K176" s="18">
        <v>23.5</v>
      </c>
      <c r="L176" s="18">
        <v>22.8</v>
      </c>
      <c r="M176" s="18">
        <v>5</v>
      </c>
    </row>
    <row r="177" spans="1:13" ht="15.75" customHeight="1" x14ac:dyDescent="0.3">
      <c r="A177" s="65">
        <v>175</v>
      </c>
      <c r="B177" s="14" t="s">
        <v>278</v>
      </c>
      <c r="C177" s="57">
        <v>316</v>
      </c>
      <c r="D177" s="57">
        <v>4</v>
      </c>
      <c r="E177" s="57">
        <v>4</v>
      </c>
      <c r="F177" s="56">
        <v>1</v>
      </c>
      <c r="G177" s="25" t="s">
        <v>19</v>
      </c>
      <c r="H177" s="17">
        <v>2</v>
      </c>
      <c r="I177" s="17">
        <v>2.57</v>
      </c>
      <c r="J177" s="17">
        <v>7.67</v>
      </c>
      <c r="K177" s="18">
        <v>14.8</v>
      </c>
      <c r="L177" s="18">
        <v>42.6</v>
      </c>
      <c r="M177" s="18">
        <v>4</v>
      </c>
    </row>
    <row r="178" spans="1:13" ht="15.75" customHeight="1" x14ac:dyDescent="0.3">
      <c r="A178" s="65">
        <v>176</v>
      </c>
      <c r="B178" s="14" t="s">
        <v>279</v>
      </c>
      <c r="C178" s="56">
        <v>498</v>
      </c>
      <c r="D178" s="56">
        <v>3</v>
      </c>
      <c r="E178" s="57">
        <v>3</v>
      </c>
      <c r="F178" s="56">
        <v>1</v>
      </c>
      <c r="G178" s="25" t="s">
        <v>19</v>
      </c>
      <c r="H178" s="17">
        <v>2.2909999999999999</v>
      </c>
      <c r="I178" s="17">
        <v>0.89</v>
      </c>
      <c r="J178" s="17">
        <v>4.2</v>
      </c>
      <c r="K178" s="18">
        <v>14</v>
      </c>
      <c r="L178" s="18">
        <v>32.299999999999997</v>
      </c>
      <c r="M178" s="18">
        <v>4</v>
      </c>
    </row>
    <row r="179" spans="1:13" ht="15.75" customHeight="1" x14ac:dyDescent="0.3">
      <c r="A179" s="66">
        <v>177</v>
      </c>
      <c r="B179" s="26" t="s">
        <v>280</v>
      </c>
      <c r="C179" s="69">
        <v>233</v>
      </c>
      <c r="D179" s="21" t="s">
        <v>24</v>
      </c>
      <c r="E179" s="21" t="s">
        <v>24</v>
      </c>
      <c r="F179" s="58">
        <v>1</v>
      </c>
      <c r="G179" s="20" t="s">
        <v>25</v>
      </c>
      <c r="H179" s="21"/>
      <c r="I179" s="22">
        <v>1.96</v>
      </c>
      <c r="J179" s="22">
        <v>7.16</v>
      </c>
      <c r="K179" s="23">
        <v>19.2</v>
      </c>
      <c r="L179" s="23">
        <v>32.799999999999997</v>
      </c>
      <c r="M179" s="23">
        <v>4</v>
      </c>
    </row>
    <row r="180" spans="1:13" ht="15.75" customHeight="1" x14ac:dyDescent="0.3">
      <c r="A180" s="65">
        <v>178</v>
      </c>
      <c r="B180" s="14" t="s">
        <v>281</v>
      </c>
      <c r="C180" s="56">
        <v>188</v>
      </c>
      <c r="D180" s="56">
        <v>4</v>
      </c>
      <c r="E180" s="56">
        <v>3</v>
      </c>
      <c r="F180" s="56">
        <v>1</v>
      </c>
      <c r="G180" s="25" t="s">
        <v>19</v>
      </c>
      <c r="H180" s="17">
        <v>1.329</v>
      </c>
      <c r="I180" s="17">
        <v>0.32</v>
      </c>
      <c r="J180" s="17">
        <v>4.46</v>
      </c>
      <c r="K180" s="18">
        <v>19.2</v>
      </c>
      <c r="L180" s="18">
        <v>32.799999999999997</v>
      </c>
      <c r="M180" s="18">
        <v>4</v>
      </c>
    </row>
    <row r="181" spans="1:13" ht="15.75" customHeight="1" x14ac:dyDescent="0.3">
      <c r="A181" s="66">
        <v>179</v>
      </c>
      <c r="B181" s="26" t="s">
        <v>282</v>
      </c>
      <c r="C181" s="59">
        <v>114</v>
      </c>
      <c r="D181" s="21" t="s">
        <v>24</v>
      </c>
      <c r="E181" s="21" t="s">
        <v>24</v>
      </c>
      <c r="F181" s="58">
        <v>1</v>
      </c>
      <c r="G181" s="20" t="s">
        <v>25</v>
      </c>
      <c r="H181" s="22">
        <v>0.71699999999999997</v>
      </c>
      <c r="I181" s="22">
        <v>0.53</v>
      </c>
      <c r="J181" s="22">
        <v>3.86</v>
      </c>
      <c r="K181" s="23">
        <v>19.2</v>
      </c>
      <c r="L181" s="23">
        <v>32.799999999999997</v>
      </c>
      <c r="M181" s="23">
        <v>5</v>
      </c>
    </row>
    <row r="182" spans="1:13" ht="15.75" customHeight="1" x14ac:dyDescent="0.3">
      <c r="A182" s="66">
        <v>180</v>
      </c>
      <c r="B182" s="26" t="s">
        <v>283</v>
      </c>
      <c r="C182" s="58">
        <v>139</v>
      </c>
      <c r="D182" s="21" t="s">
        <v>24</v>
      </c>
      <c r="E182" s="21" t="s">
        <v>24</v>
      </c>
      <c r="F182" s="58">
        <v>1</v>
      </c>
      <c r="G182" s="20" t="s">
        <v>25</v>
      </c>
      <c r="H182" s="22">
        <v>0.77200000000000002</v>
      </c>
      <c r="I182" s="22">
        <v>0.74</v>
      </c>
      <c r="J182" s="22">
        <v>3.55</v>
      </c>
      <c r="K182" s="23">
        <v>19.2</v>
      </c>
      <c r="L182" s="23">
        <v>32.799999999999997</v>
      </c>
      <c r="M182" s="23">
        <v>6</v>
      </c>
    </row>
    <row r="183" spans="1:13" ht="15.75" customHeight="1" x14ac:dyDescent="0.3">
      <c r="A183" s="66">
        <v>181</v>
      </c>
      <c r="B183" s="26" t="s">
        <v>59</v>
      </c>
      <c r="C183" s="58">
        <v>775</v>
      </c>
      <c r="D183" s="21" t="s">
        <v>24</v>
      </c>
      <c r="E183" s="21" t="s">
        <v>24</v>
      </c>
      <c r="F183" s="58">
        <v>1</v>
      </c>
      <c r="G183" s="20" t="s">
        <v>25</v>
      </c>
      <c r="H183" s="22">
        <v>0.72399999999999998</v>
      </c>
      <c r="I183" s="22">
        <v>1.0900000000000001</v>
      </c>
      <c r="J183" s="22">
        <v>5.6</v>
      </c>
      <c r="K183" s="23">
        <v>26.5</v>
      </c>
      <c r="L183" s="23">
        <v>45.3</v>
      </c>
      <c r="M183" s="23">
        <v>6</v>
      </c>
    </row>
    <row r="184" spans="1:13" ht="15.75" customHeight="1" x14ac:dyDescent="0.3">
      <c r="A184" s="66">
        <v>182</v>
      </c>
      <c r="B184" s="26" t="s">
        <v>108</v>
      </c>
      <c r="C184" s="58">
        <v>294</v>
      </c>
      <c r="D184" s="21" t="s">
        <v>24</v>
      </c>
      <c r="E184" s="21" t="s">
        <v>24</v>
      </c>
      <c r="F184" s="58">
        <v>1</v>
      </c>
      <c r="G184" s="20" t="s">
        <v>25</v>
      </c>
      <c r="H184" s="22">
        <v>1.379</v>
      </c>
      <c r="I184" s="22">
        <v>0.66</v>
      </c>
      <c r="J184" s="22">
        <v>5.66</v>
      </c>
      <c r="K184" s="23">
        <v>19.2</v>
      </c>
      <c r="L184" s="23">
        <v>32.799999999999997</v>
      </c>
      <c r="M184" s="23">
        <v>4</v>
      </c>
    </row>
    <row r="185" spans="1:13" ht="15.75" customHeight="1" x14ac:dyDescent="0.3">
      <c r="A185" s="65">
        <v>183</v>
      </c>
      <c r="B185" s="14" t="s">
        <v>100</v>
      </c>
      <c r="C185" s="56">
        <v>560</v>
      </c>
      <c r="D185" s="56">
        <v>4</v>
      </c>
      <c r="E185" s="57">
        <v>4</v>
      </c>
      <c r="F185" s="56">
        <v>1</v>
      </c>
      <c r="G185" s="25" t="s">
        <v>19</v>
      </c>
      <c r="H185" s="17">
        <v>4</v>
      </c>
      <c r="I185" s="17">
        <v>1.18</v>
      </c>
      <c r="J185" s="17">
        <v>4.9400000000000004</v>
      </c>
      <c r="K185" s="18">
        <v>24</v>
      </c>
      <c r="L185" s="18">
        <v>26</v>
      </c>
      <c r="M185" s="18">
        <v>3</v>
      </c>
    </row>
    <row r="186" spans="1:13" ht="15.75" customHeight="1" x14ac:dyDescent="0.3">
      <c r="A186" s="66">
        <v>184</v>
      </c>
      <c r="B186" s="26" t="s">
        <v>284</v>
      </c>
      <c r="C186" s="58">
        <v>149</v>
      </c>
      <c r="D186" s="21" t="s">
        <v>24</v>
      </c>
      <c r="E186" s="21" t="s">
        <v>24</v>
      </c>
      <c r="F186" s="58">
        <v>1</v>
      </c>
      <c r="G186" s="20" t="s">
        <v>25</v>
      </c>
      <c r="H186" s="22">
        <v>1.395</v>
      </c>
      <c r="I186" s="22">
        <v>0.48</v>
      </c>
      <c r="J186" s="22">
        <v>4.13</v>
      </c>
      <c r="K186" s="23">
        <v>19.2</v>
      </c>
      <c r="L186" s="23">
        <v>32.799999999999997</v>
      </c>
      <c r="M186" s="23">
        <v>6</v>
      </c>
    </row>
    <row r="187" spans="1:13" ht="15.75" customHeight="1" x14ac:dyDescent="0.3">
      <c r="A187" s="66">
        <v>185</v>
      </c>
      <c r="B187" s="26" t="s">
        <v>47</v>
      </c>
      <c r="C187" s="58">
        <v>130</v>
      </c>
      <c r="D187" s="21" t="s">
        <v>24</v>
      </c>
      <c r="E187" s="21" t="s">
        <v>24</v>
      </c>
      <c r="F187" s="58">
        <v>1</v>
      </c>
      <c r="G187" s="20" t="s">
        <v>25</v>
      </c>
      <c r="H187" s="22">
        <v>1.593</v>
      </c>
      <c r="I187" s="22">
        <v>0.62</v>
      </c>
      <c r="J187" s="22">
        <v>6.97</v>
      </c>
      <c r="K187" s="23">
        <v>19.2</v>
      </c>
      <c r="L187" s="23">
        <v>32.799999999999997</v>
      </c>
      <c r="M187" s="23">
        <v>5</v>
      </c>
    </row>
    <row r="188" spans="1:13" ht="15.75" customHeight="1" x14ac:dyDescent="0.3">
      <c r="A188" s="65">
        <v>186</v>
      </c>
      <c r="B188" s="14" t="s">
        <v>285</v>
      </c>
      <c r="C188" s="56">
        <v>150</v>
      </c>
      <c r="D188" s="56">
        <v>4</v>
      </c>
      <c r="E188" s="56">
        <v>5</v>
      </c>
      <c r="F188" s="56">
        <v>1</v>
      </c>
      <c r="G188" s="53"/>
      <c r="H188" s="15"/>
      <c r="I188" s="17">
        <v>2.16</v>
      </c>
      <c r="J188" s="17">
        <v>7.3</v>
      </c>
      <c r="K188" s="18">
        <v>19.2</v>
      </c>
      <c r="L188" s="18">
        <v>32.799999999999997</v>
      </c>
      <c r="M188" s="18">
        <v>5</v>
      </c>
    </row>
    <row r="189" spans="1:13" ht="15.75" customHeight="1" x14ac:dyDescent="0.3">
      <c r="A189" s="14"/>
      <c r="B189" s="53"/>
      <c r="C189" s="53"/>
      <c r="D189" s="70"/>
      <c r="E189" s="53"/>
      <c r="F189" s="53"/>
      <c r="G189" s="53"/>
      <c r="H189" s="31"/>
      <c r="I189" s="31"/>
      <c r="J189" s="31"/>
      <c r="K189" s="31"/>
      <c r="L189" s="31"/>
      <c r="M189" s="31"/>
    </row>
    <row r="190" spans="1:13" ht="15.75" customHeight="1" x14ac:dyDescent="0.3">
      <c r="A190" s="71" t="s">
        <v>136</v>
      </c>
      <c r="B190" s="71"/>
      <c r="C190" s="71"/>
      <c r="D190" s="71"/>
      <c r="E190" s="71"/>
      <c r="F190" s="71"/>
      <c r="G190" s="71" t="s">
        <v>137</v>
      </c>
      <c r="H190" s="31"/>
      <c r="I190" s="31"/>
      <c r="J190" s="31"/>
      <c r="K190" s="31"/>
      <c r="L190" s="31"/>
      <c r="M190" s="31"/>
    </row>
    <row r="191" spans="1:13" ht="15.75" customHeight="1" x14ac:dyDescent="0.3">
      <c r="A191" s="72"/>
      <c r="B191" s="42" t="s">
        <v>155</v>
      </c>
      <c r="C191" s="53"/>
      <c r="D191" s="73"/>
      <c r="E191" s="73"/>
      <c r="F191" s="74">
        <v>3</v>
      </c>
      <c r="G191" s="75" t="s">
        <v>139</v>
      </c>
      <c r="H191" s="76"/>
      <c r="I191" s="77"/>
      <c r="J191" s="76"/>
      <c r="K191" s="76"/>
      <c r="L191" s="76"/>
      <c r="M191" s="76"/>
    </row>
    <row r="192" spans="1:13" ht="15.75" customHeight="1" x14ac:dyDescent="0.3">
      <c r="A192" s="72"/>
      <c r="B192" s="42" t="s">
        <v>147</v>
      </c>
      <c r="C192" s="53"/>
      <c r="D192" s="78">
        <v>4</v>
      </c>
      <c r="E192" s="73"/>
      <c r="F192" s="79">
        <v>4</v>
      </c>
      <c r="G192" s="75" t="s">
        <v>139</v>
      </c>
      <c r="H192" s="76"/>
      <c r="I192" s="76"/>
      <c r="J192" s="76"/>
      <c r="K192" s="76"/>
      <c r="L192" s="76"/>
      <c r="M192" s="76"/>
    </row>
    <row r="193" spans="1:13" ht="15.75" customHeight="1" x14ac:dyDescent="0.3">
      <c r="A193" s="72"/>
      <c r="B193" s="42" t="s">
        <v>159</v>
      </c>
      <c r="C193" s="80"/>
      <c r="D193" s="81">
        <v>3</v>
      </c>
      <c r="E193" s="73"/>
      <c r="F193" s="79">
        <v>2</v>
      </c>
      <c r="G193" s="75" t="s">
        <v>139</v>
      </c>
      <c r="H193" s="76"/>
      <c r="I193" s="76"/>
      <c r="J193" s="76"/>
      <c r="K193" s="76"/>
      <c r="L193" s="76"/>
      <c r="M193" s="76"/>
    </row>
    <row r="194" spans="1:13" ht="15.75" customHeight="1" x14ac:dyDescent="0.3">
      <c r="A194" s="72"/>
      <c r="B194" s="42" t="s">
        <v>286</v>
      </c>
      <c r="C194" s="80"/>
      <c r="D194" s="82"/>
      <c r="E194" s="73"/>
      <c r="F194" s="79">
        <v>3</v>
      </c>
      <c r="G194" s="75" t="s">
        <v>139</v>
      </c>
      <c r="H194" s="76"/>
      <c r="I194" s="76"/>
      <c r="J194" s="76"/>
      <c r="K194" s="76"/>
      <c r="L194" s="76"/>
      <c r="M194" s="76"/>
    </row>
    <row r="195" spans="1:13" ht="15.75" customHeight="1" x14ac:dyDescent="0.3">
      <c r="A195" s="72"/>
      <c r="B195" s="42" t="s">
        <v>158</v>
      </c>
      <c r="C195" s="80"/>
      <c r="D195" s="81">
        <v>4</v>
      </c>
      <c r="E195" s="73"/>
      <c r="F195" s="79">
        <v>3</v>
      </c>
      <c r="G195" s="75" t="s">
        <v>139</v>
      </c>
      <c r="H195" s="76"/>
      <c r="I195" s="76"/>
      <c r="J195" s="76"/>
      <c r="K195" s="76"/>
      <c r="L195" s="76"/>
      <c r="M195" s="76"/>
    </row>
    <row r="196" spans="1:13" ht="15.75" customHeight="1" x14ac:dyDescent="0.3">
      <c r="A196" s="72"/>
      <c r="B196" s="42" t="s">
        <v>156</v>
      </c>
      <c r="C196" s="53"/>
      <c r="D196" s="73"/>
      <c r="E196" s="73"/>
      <c r="F196" s="73"/>
      <c r="G196" s="75" t="s">
        <v>139</v>
      </c>
      <c r="H196" s="76"/>
      <c r="I196" s="76"/>
      <c r="J196" s="76"/>
      <c r="K196" s="76"/>
      <c r="L196" s="76"/>
      <c r="M196" s="76"/>
    </row>
    <row r="197" spans="1:13" ht="15.75" customHeight="1" x14ac:dyDescent="0.3">
      <c r="A197" s="72"/>
      <c r="B197" s="42" t="s">
        <v>287</v>
      </c>
      <c r="C197" s="53"/>
      <c r="D197" s="78">
        <v>3</v>
      </c>
      <c r="E197" s="73"/>
      <c r="F197" s="79">
        <v>3</v>
      </c>
      <c r="G197" s="75" t="s">
        <v>139</v>
      </c>
      <c r="H197" s="76"/>
      <c r="I197" s="76"/>
      <c r="J197" s="76"/>
      <c r="K197" s="76"/>
      <c r="L197" s="76"/>
      <c r="M197" s="76"/>
    </row>
    <row r="198" spans="1:13" ht="15.75" customHeight="1" x14ac:dyDescent="0.3">
      <c r="A198" s="72"/>
      <c r="B198" s="42" t="s">
        <v>288</v>
      </c>
      <c r="C198" s="80"/>
      <c r="D198" s="81">
        <v>5</v>
      </c>
      <c r="E198" s="73"/>
      <c r="F198" s="79">
        <v>3</v>
      </c>
      <c r="G198" s="75" t="s">
        <v>139</v>
      </c>
      <c r="H198" s="76"/>
      <c r="I198" s="76"/>
      <c r="J198" s="76"/>
      <c r="K198" s="76"/>
      <c r="L198" s="76"/>
      <c r="M198" s="76"/>
    </row>
    <row r="199" spans="1:13" ht="15.75" customHeight="1" x14ac:dyDescent="0.3">
      <c r="A199" s="72"/>
      <c r="B199" s="42" t="s">
        <v>141</v>
      </c>
      <c r="C199" s="53"/>
      <c r="D199" s="78" t="s">
        <v>24</v>
      </c>
      <c r="E199" s="73"/>
      <c r="F199" s="79">
        <v>4</v>
      </c>
      <c r="G199" s="75" t="s">
        <v>139</v>
      </c>
      <c r="H199" s="76"/>
      <c r="I199" s="76"/>
      <c r="J199" s="76"/>
      <c r="K199" s="76"/>
      <c r="L199" s="76"/>
      <c r="M199" s="76"/>
    </row>
    <row r="200" spans="1:13" ht="15.75" customHeight="1" x14ac:dyDescent="0.3">
      <c r="A200" s="72"/>
      <c r="B200" s="42" t="s">
        <v>289</v>
      </c>
      <c r="C200" s="53"/>
      <c r="D200" s="78" t="s">
        <v>24</v>
      </c>
      <c r="E200" s="73"/>
      <c r="F200" s="79">
        <v>4</v>
      </c>
      <c r="G200" s="75" t="s">
        <v>139</v>
      </c>
      <c r="H200" s="76"/>
      <c r="I200" s="76"/>
      <c r="J200" s="76"/>
      <c r="K200" s="76"/>
      <c r="L200" s="76"/>
      <c r="M200" s="76"/>
    </row>
    <row r="201" spans="1:13" ht="15.75" customHeight="1" x14ac:dyDescent="0.3">
      <c r="A201" s="72"/>
      <c r="B201" s="42" t="s">
        <v>145</v>
      </c>
      <c r="C201" s="53"/>
      <c r="D201" s="78">
        <v>3</v>
      </c>
      <c r="E201" s="73"/>
      <c r="F201" s="79">
        <v>4</v>
      </c>
      <c r="G201" s="75" t="s">
        <v>139</v>
      </c>
      <c r="H201" s="76"/>
      <c r="I201" s="76"/>
      <c r="J201" s="76"/>
      <c r="K201" s="76"/>
      <c r="L201" s="76"/>
      <c r="M201" s="76"/>
    </row>
    <row r="202" spans="1:13" ht="15.75" customHeight="1" x14ac:dyDescent="0.3">
      <c r="A202" s="72"/>
      <c r="B202" s="42" t="s">
        <v>290</v>
      </c>
      <c r="C202" s="53"/>
      <c r="D202" s="78" t="s">
        <v>24</v>
      </c>
      <c r="E202" s="73"/>
      <c r="F202" s="79">
        <v>3</v>
      </c>
      <c r="G202" s="75" t="s">
        <v>139</v>
      </c>
      <c r="H202" s="76"/>
      <c r="I202" s="76"/>
      <c r="J202" s="76"/>
      <c r="K202" s="76"/>
      <c r="L202" s="76"/>
      <c r="M202" s="76"/>
    </row>
    <row r="203" spans="1:13" ht="15.75" customHeight="1" x14ac:dyDescent="0.3">
      <c r="A203" s="72"/>
      <c r="B203" s="42" t="s">
        <v>291</v>
      </c>
      <c r="C203" s="53"/>
      <c r="D203" s="73"/>
      <c r="E203" s="73"/>
      <c r="F203" s="79">
        <v>4</v>
      </c>
      <c r="G203" s="75" t="s">
        <v>139</v>
      </c>
      <c r="H203" s="76"/>
      <c r="I203" s="76"/>
      <c r="J203" s="76"/>
      <c r="K203" s="76"/>
      <c r="L203" s="76"/>
      <c r="M203" s="76"/>
    </row>
    <row r="204" spans="1:13" ht="15.75" customHeight="1" x14ac:dyDescent="0.3">
      <c r="A204" s="72"/>
      <c r="B204" s="42" t="s">
        <v>292</v>
      </c>
      <c r="C204" s="53"/>
      <c r="D204" s="78">
        <v>3</v>
      </c>
      <c r="E204" s="73"/>
      <c r="F204" s="78">
        <v>3</v>
      </c>
      <c r="G204" s="75" t="s">
        <v>139</v>
      </c>
      <c r="H204" s="76"/>
      <c r="I204" s="76"/>
      <c r="J204" s="76"/>
      <c r="K204" s="76"/>
      <c r="L204" s="76"/>
      <c r="M204" s="76"/>
    </row>
    <row r="205" spans="1:13" ht="15.75" customHeight="1" x14ac:dyDescent="0.3">
      <c r="A205" s="72"/>
      <c r="B205" s="42" t="s">
        <v>138</v>
      </c>
      <c r="C205" s="53"/>
      <c r="D205" s="78">
        <v>4</v>
      </c>
      <c r="E205" s="73"/>
      <c r="F205" s="79">
        <v>2</v>
      </c>
      <c r="G205" s="75" t="s">
        <v>139</v>
      </c>
      <c r="H205" s="76"/>
      <c r="I205" s="76"/>
      <c r="J205" s="76"/>
      <c r="K205" s="76"/>
      <c r="L205" s="76"/>
      <c r="M205" s="76"/>
    </row>
    <row r="206" spans="1:13" ht="15.75" customHeight="1" x14ac:dyDescent="0.3">
      <c r="A206" s="72"/>
      <c r="B206" s="42" t="s">
        <v>293</v>
      </c>
      <c r="C206" s="53"/>
      <c r="D206" s="78">
        <v>3</v>
      </c>
      <c r="E206" s="73"/>
      <c r="F206" s="79">
        <v>4</v>
      </c>
      <c r="G206" s="75" t="s">
        <v>139</v>
      </c>
      <c r="H206" s="76"/>
      <c r="I206" s="76"/>
      <c r="J206" s="76"/>
      <c r="K206" s="76"/>
      <c r="L206" s="76"/>
      <c r="M206" s="76"/>
    </row>
    <row r="207" spans="1:13" ht="15.75" customHeight="1" x14ac:dyDescent="0.3">
      <c r="A207" s="72"/>
      <c r="B207" s="42" t="s">
        <v>150</v>
      </c>
      <c r="C207" s="80"/>
      <c r="D207" s="81">
        <v>3</v>
      </c>
      <c r="E207" s="82"/>
      <c r="F207" s="79">
        <v>3</v>
      </c>
      <c r="G207" s="75" t="s">
        <v>139</v>
      </c>
      <c r="H207" s="76"/>
      <c r="I207" s="76"/>
      <c r="J207" s="76"/>
      <c r="K207" s="76"/>
      <c r="L207" s="76"/>
      <c r="M207" s="76"/>
    </row>
    <row r="208" spans="1:13" ht="15.75" customHeight="1" x14ac:dyDescent="0.3">
      <c r="A208" s="72"/>
      <c r="B208" s="42" t="s">
        <v>149</v>
      </c>
      <c r="C208" s="80"/>
      <c r="D208" s="81">
        <v>4</v>
      </c>
      <c r="E208" s="73"/>
      <c r="F208" s="79">
        <v>4</v>
      </c>
      <c r="G208" s="75" t="s">
        <v>139</v>
      </c>
      <c r="H208" s="76"/>
      <c r="I208" s="76"/>
      <c r="J208" s="76"/>
      <c r="K208" s="76"/>
      <c r="L208" s="76"/>
      <c r="M208" s="76"/>
    </row>
    <row r="209" spans="1:13" ht="15.75" customHeight="1" x14ac:dyDescent="0.3">
      <c r="A209" s="72"/>
      <c r="B209" s="42" t="s">
        <v>152</v>
      </c>
      <c r="C209" s="53"/>
      <c r="D209" s="78" t="s">
        <v>24</v>
      </c>
      <c r="E209" s="73"/>
      <c r="F209" s="79">
        <v>4</v>
      </c>
      <c r="G209" s="75" t="s">
        <v>139</v>
      </c>
      <c r="H209" s="76"/>
      <c r="I209" s="76"/>
      <c r="J209" s="76"/>
      <c r="K209" s="76"/>
      <c r="L209" s="76"/>
      <c r="M209" s="76"/>
    </row>
    <row r="210" spans="1:13" ht="15.75" customHeight="1" x14ac:dyDescent="0.3">
      <c r="A210" s="72"/>
      <c r="B210" s="42" t="s">
        <v>146</v>
      </c>
      <c r="C210" s="53"/>
      <c r="D210" s="78" t="s">
        <v>24</v>
      </c>
      <c r="E210" s="73"/>
      <c r="F210" s="79">
        <v>3</v>
      </c>
      <c r="G210" s="75" t="s">
        <v>139</v>
      </c>
      <c r="H210" s="76"/>
      <c r="I210" s="76"/>
      <c r="J210" s="76"/>
      <c r="K210" s="76"/>
      <c r="L210" s="76"/>
      <c r="M210" s="76"/>
    </row>
    <row r="211" spans="1:13" ht="15.75" customHeight="1" x14ac:dyDescent="0.3">
      <c r="A211" s="72"/>
      <c r="B211" s="42" t="s">
        <v>154</v>
      </c>
      <c r="C211" s="53"/>
      <c r="D211" s="78" t="s">
        <v>24</v>
      </c>
      <c r="E211" s="73"/>
      <c r="F211" s="79">
        <v>3</v>
      </c>
      <c r="G211" s="75" t="s">
        <v>139</v>
      </c>
      <c r="H211" s="76"/>
      <c r="I211" s="76"/>
      <c r="J211" s="76"/>
      <c r="K211" s="76"/>
      <c r="L211" s="76"/>
      <c r="M211" s="76"/>
    </row>
    <row r="212" spans="1:13" ht="15.75" customHeight="1" x14ac:dyDescent="0.3">
      <c r="A212" s="72"/>
      <c r="B212" s="42" t="s">
        <v>142</v>
      </c>
      <c r="C212" s="53"/>
      <c r="D212" s="78" t="s">
        <v>24</v>
      </c>
      <c r="E212" s="73"/>
      <c r="F212" s="73"/>
      <c r="G212" s="75" t="s">
        <v>139</v>
      </c>
      <c r="H212" s="76"/>
      <c r="I212" s="76"/>
      <c r="J212" s="76"/>
      <c r="K212" s="76"/>
      <c r="L212" s="76"/>
      <c r="M212" s="76"/>
    </row>
    <row r="213" spans="1:13" ht="15.75" customHeight="1" x14ac:dyDescent="0.3">
      <c r="A213" s="72"/>
      <c r="B213" s="42" t="s">
        <v>153</v>
      </c>
      <c r="C213" s="53"/>
      <c r="D213" s="78" t="s">
        <v>24</v>
      </c>
      <c r="E213" s="73"/>
      <c r="F213" s="79">
        <v>3</v>
      </c>
      <c r="G213" s="75" t="s">
        <v>139</v>
      </c>
      <c r="H213" s="76"/>
      <c r="I213" s="76"/>
      <c r="J213" s="76"/>
      <c r="K213" s="76"/>
      <c r="L213" s="76"/>
      <c r="M213" s="76"/>
    </row>
    <row r="214" spans="1:13" ht="15.75" customHeight="1" x14ac:dyDescent="0.3">
      <c r="A214" s="72"/>
      <c r="B214" s="42" t="s">
        <v>294</v>
      </c>
      <c r="C214" s="53"/>
      <c r="D214" s="73"/>
      <c r="E214" s="73"/>
      <c r="F214" s="73"/>
      <c r="G214" s="75" t="s">
        <v>139</v>
      </c>
      <c r="H214" s="76"/>
      <c r="I214" s="76"/>
      <c r="J214" s="76"/>
      <c r="K214" s="76"/>
      <c r="L214" s="76"/>
      <c r="M214" s="76"/>
    </row>
    <row r="215" spans="1:13" ht="15.75" customHeight="1" x14ac:dyDescent="0.3">
      <c r="A215" s="72"/>
      <c r="B215" s="42" t="s">
        <v>151</v>
      </c>
      <c r="C215" s="80"/>
      <c r="D215" s="81">
        <v>4</v>
      </c>
      <c r="E215" s="73"/>
      <c r="F215" s="73"/>
      <c r="G215" s="75" t="s">
        <v>139</v>
      </c>
      <c r="H215" s="76"/>
      <c r="I215" s="76"/>
      <c r="J215" s="76"/>
      <c r="K215" s="76"/>
      <c r="L215" s="76"/>
      <c r="M215" s="76"/>
    </row>
    <row r="216" spans="1:13" ht="15.75" customHeight="1" x14ac:dyDescent="0.3">
      <c r="A216" s="83"/>
      <c r="B216" s="42" t="s">
        <v>295</v>
      </c>
      <c r="C216" s="53"/>
      <c r="D216" s="78" t="s">
        <v>24</v>
      </c>
      <c r="E216" s="73"/>
      <c r="F216" s="74">
        <v>3</v>
      </c>
      <c r="G216" s="75" t="s">
        <v>139</v>
      </c>
      <c r="H216" s="76"/>
      <c r="I216" s="76"/>
      <c r="J216" s="76"/>
      <c r="K216" s="76"/>
      <c r="L216" s="76"/>
      <c r="M216" s="76"/>
    </row>
    <row r="217" spans="1:13" ht="15.75" customHeight="1" x14ac:dyDescent="0.3">
      <c r="A217" s="83"/>
      <c r="B217" s="42" t="s">
        <v>157</v>
      </c>
      <c r="C217" s="80"/>
      <c r="D217" s="81" t="s">
        <v>24</v>
      </c>
      <c r="E217" s="73"/>
      <c r="F217" s="74">
        <v>4</v>
      </c>
      <c r="G217" s="75" t="s">
        <v>139</v>
      </c>
      <c r="H217" s="76"/>
      <c r="I217" s="76"/>
      <c r="J217" s="76"/>
      <c r="K217" s="76"/>
      <c r="L217" s="76"/>
      <c r="M217" s="76"/>
    </row>
    <row r="218" spans="1:13" ht="15.75" customHeight="1" x14ac:dyDescent="0.3">
      <c r="A218" s="72"/>
      <c r="B218" s="42" t="s">
        <v>143</v>
      </c>
      <c r="C218" s="80"/>
      <c r="D218" s="81">
        <v>4</v>
      </c>
      <c r="E218" s="73"/>
      <c r="F218" s="79" t="s">
        <v>24</v>
      </c>
      <c r="G218" s="75" t="s">
        <v>139</v>
      </c>
      <c r="H218" s="76"/>
      <c r="I218" s="76"/>
      <c r="J218" s="76"/>
      <c r="K218" s="76"/>
      <c r="L218" s="76"/>
      <c r="M218" s="76"/>
    </row>
    <row r="219" spans="1:13" ht="15.75" customHeight="1" x14ac:dyDescent="0.3">
      <c r="A219" s="83"/>
      <c r="B219" s="42" t="s">
        <v>144</v>
      </c>
      <c r="C219" s="53"/>
      <c r="D219" s="78">
        <v>5</v>
      </c>
      <c r="E219" s="73"/>
      <c r="F219" s="74">
        <v>5</v>
      </c>
      <c r="G219" s="75" t="s">
        <v>139</v>
      </c>
      <c r="H219" s="76"/>
      <c r="I219" s="76"/>
      <c r="J219" s="76"/>
      <c r="K219" s="76"/>
      <c r="L219" s="76"/>
      <c r="M219" s="76"/>
    </row>
    <row r="220" spans="1:13" ht="15.75" customHeight="1" x14ac:dyDescent="0.3">
      <c r="A220" s="83"/>
      <c r="B220" s="42" t="s">
        <v>148</v>
      </c>
      <c r="C220" s="53"/>
      <c r="D220" s="78" t="s">
        <v>24</v>
      </c>
      <c r="E220" s="73"/>
      <c r="F220" s="74">
        <v>2</v>
      </c>
      <c r="G220" s="75" t="s">
        <v>139</v>
      </c>
      <c r="H220" s="76"/>
      <c r="I220" s="76"/>
      <c r="J220" s="76"/>
      <c r="K220" s="76"/>
      <c r="L220" s="76"/>
      <c r="M220" s="76"/>
    </row>
    <row r="221" spans="1:13" ht="15.75" customHeight="1" x14ac:dyDescent="0.3">
      <c r="A221" s="72"/>
      <c r="B221" s="42" t="s">
        <v>164</v>
      </c>
      <c r="C221" s="53"/>
      <c r="D221" s="78" t="s">
        <v>24</v>
      </c>
      <c r="E221" s="73"/>
      <c r="F221" s="79" t="s">
        <v>24</v>
      </c>
      <c r="G221" s="75" t="s">
        <v>139</v>
      </c>
      <c r="H221" s="76"/>
      <c r="I221" s="76"/>
      <c r="J221" s="76"/>
      <c r="K221" s="76"/>
      <c r="L221" s="76"/>
      <c r="M221" s="76"/>
    </row>
    <row r="222" spans="1:13" ht="15.75" customHeight="1" x14ac:dyDescent="0.3">
      <c r="A222" s="72"/>
      <c r="B222" s="42" t="s">
        <v>296</v>
      </c>
      <c r="C222" s="53"/>
      <c r="D222" s="78" t="s">
        <v>24</v>
      </c>
      <c r="E222" s="73"/>
      <c r="F222" s="79">
        <v>2</v>
      </c>
      <c r="G222" s="75" t="s">
        <v>139</v>
      </c>
      <c r="H222" s="76"/>
      <c r="I222" s="76"/>
      <c r="J222" s="76"/>
      <c r="K222" s="76"/>
      <c r="L222" s="76"/>
      <c r="M222" s="76"/>
    </row>
    <row r="223" spans="1:13" ht="15.75" customHeight="1" x14ac:dyDescent="0.3">
      <c r="A223" s="83"/>
      <c r="B223" s="42" t="s">
        <v>297</v>
      </c>
      <c r="C223" s="53"/>
      <c r="D223" s="78" t="s">
        <v>24</v>
      </c>
      <c r="E223" s="73"/>
      <c r="F223" s="74">
        <v>4</v>
      </c>
      <c r="G223" s="75" t="s">
        <v>139</v>
      </c>
      <c r="H223" s="76"/>
      <c r="I223" s="76"/>
      <c r="J223" s="76"/>
      <c r="K223" s="76"/>
      <c r="L223" s="76"/>
      <c r="M223" s="76"/>
    </row>
    <row r="224" spans="1:13" ht="15.75" customHeight="1" x14ac:dyDescent="0.3">
      <c r="A224" s="72"/>
      <c r="B224" s="42" t="s">
        <v>298</v>
      </c>
      <c r="C224" s="53"/>
      <c r="D224" s="78" t="s">
        <v>24</v>
      </c>
      <c r="E224" s="73"/>
      <c r="F224" s="79">
        <v>1</v>
      </c>
      <c r="G224" s="75" t="s">
        <v>139</v>
      </c>
      <c r="H224" s="76"/>
      <c r="I224" s="76"/>
      <c r="J224" s="76"/>
      <c r="K224" s="76"/>
      <c r="L224" s="76"/>
      <c r="M224" s="76"/>
    </row>
    <row r="225" spans="1:13" ht="15.75" customHeight="1" x14ac:dyDescent="0.3">
      <c r="A225" s="72"/>
      <c r="B225" s="42" t="s">
        <v>299</v>
      </c>
      <c r="C225" s="53"/>
      <c r="D225" s="73"/>
      <c r="E225" s="73"/>
      <c r="F225" s="79">
        <v>4</v>
      </c>
      <c r="G225" s="75" t="s">
        <v>139</v>
      </c>
      <c r="H225" s="76"/>
      <c r="I225" s="76"/>
      <c r="J225" s="76"/>
      <c r="K225" s="76"/>
      <c r="L225" s="76"/>
      <c r="M225" s="76"/>
    </row>
    <row r="226" spans="1:13" ht="15.75" customHeight="1" x14ac:dyDescent="0.3">
      <c r="A226" s="72"/>
      <c r="B226" s="42" t="s">
        <v>300</v>
      </c>
      <c r="C226" s="53"/>
      <c r="D226" s="78" t="s">
        <v>24</v>
      </c>
      <c r="E226" s="73"/>
      <c r="F226" s="79">
        <v>4</v>
      </c>
      <c r="G226" s="75" t="s">
        <v>161</v>
      </c>
      <c r="H226" s="76"/>
      <c r="I226" s="76"/>
      <c r="J226" s="76"/>
      <c r="K226" s="76"/>
      <c r="L226" s="76"/>
      <c r="M226" s="76"/>
    </row>
    <row r="227" spans="1:13" ht="15.75" customHeight="1" x14ac:dyDescent="0.3">
      <c r="A227" s="72"/>
      <c r="B227" s="42" t="s">
        <v>162</v>
      </c>
      <c r="C227" s="80"/>
      <c r="D227" s="81">
        <v>5</v>
      </c>
      <c r="E227" s="73"/>
      <c r="F227" s="79">
        <v>4</v>
      </c>
      <c r="G227" s="75" t="s">
        <v>161</v>
      </c>
      <c r="H227" s="76"/>
      <c r="I227" s="76"/>
      <c r="J227" s="76"/>
      <c r="K227" s="76"/>
      <c r="L227" s="76"/>
      <c r="M227" s="76"/>
    </row>
    <row r="228" spans="1:13" ht="15.75" customHeight="1" x14ac:dyDescent="0.3">
      <c r="A228" s="72"/>
      <c r="B228" s="42" t="s">
        <v>163</v>
      </c>
      <c r="C228" s="53"/>
      <c r="D228" s="78" t="s">
        <v>24</v>
      </c>
      <c r="E228" s="73"/>
      <c r="F228" s="79">
        <v>4</v>
      </c>
      <c r="G228" s="75" t="s">
        <v>161</v>
      </c>
      <c r="H228" s="76"/>
      <c r="I228" s="76"/>
      <c r="J228" s="76"/>
      <c r="K228" s="76"/>
      <c r="L228" s="76"/>
      <c r="M228" s="76"/>
    </row>
    <row r="229" spans="1:13" ht="15.75" customHeight="1" x14ac:dyDescent="0.3">
      <c r="A229" s="72"/>
      <c r="B229" s="42" t="s">
        <v>160</v>
      </c>
      <c r="C229" s="53"/>
      <c r="D229" s="73"/>
      <c r="E229" s="82"/>
      <c r="F229" s="79">
        <v>5</v>
      </c>
      <c r="G229" s="75" t="s">
        <v>161</v>
      </c>
      <c r="H229" s="76"/>
      <c r="I229" s="76"/>
      <c r="J229" s="76"/>
      <c r="K229" s="76"/>
      <c r="L229" s="76"/>
      <c r="M229" s="76"/>
    </row>
    <row r="230" spans="1:13" ht="15.75" customHeight="1" x14ac:dyDescent="0.3">
      <c r="A230" s="72"/>
      <c r="B230" s="42" t="s">
        <v>301</v>
      </c>
      <c r="C230" s="80"/>
      <c r="D230" s="81">
        <v>5</v>
      </c>
      <c r="E230" s="73"/>
      <c r="F230" s="79">
        <v>3</v>
      </c>
      <c r="G230" s="75" t="s">
        <v>161</v>
      </c>
      <c r="H230" s="76"/>
      <c r="I230" s="76"/>
      <c r="J230" s="76"/>
      <c r="K230" s="76"/>
      <c r="L230" s="76"/>
      <c r="M230" s="76"/>
    </row>
    <row r="231" spans="1:13" ht="15.75" customHeight="1" x14ac:dyDescent="0.3">
      <c r="A231" s="72"/>
      <c r="B231" s="42" t="s">
        <v>302</v>
      </c>
      <c r="C231" s="53"/>
      <c r="D231" s="73"/>
      <c r="E231" s="73"/>
      <c r="F231" s="79">
        <v>3</v>
      </c>
      <c r="G231" s="75" t="s">
        <v>161</v>
      </c>
      <c r="H231" s="76"/>
      <c r="I231" s="76"/>
      <c r="J231" s="76"/>
      <c r="K231" s="76"/>
      <c r="L231" s="76"/>
      <c r="M231" s="76"/>
    </row>
    <row r="232" spans="1:13" ht="15.75" customHeight="1" x14ac:dyDescent="0.3">
      <c r="A232" s="72"/>
      <c r="B232" s="42" t="s">
        <v>303</v>
      </c>
      <c r="C232" s="53"/>
      <c r="D232" s="73"/>
      <c r="E232" s="73"/>
      <c r="F232" s="79">
        <v>3</v>
      </c>
      <c r="G232" s="75" t="s">
        <v>161</v>
      </c>
      <c r="H232" s="76"/>
      <c r="I232" s="76"/>
      <c r="J232" s="76"/>
      <c r="K232" s="76"/>
      <c r="L232" s="76"/>
      <c r="M232" s="76"/>
    </row>
    <row r="233" spans="1:13" ht="15.75" customHeight="1" x14ac:dyDescent="0.3">
      <c r="A233" s="72"/>
      <c r="B233" s="42" t="s">
        <v>304</v>
      </c>
      <c r="C233" s="79"/>
      <c r="D233" s="79" t="s">
        <v>24</v>
      </c>
      <c r="E233" s="73"/>
      <c r="F233" s="79">
        <v>3</v>
      </c>
      <c r="G233" s="75" t="s">
        <v>161</v>
      </c>
      <c r="H233" s="76"/>
      <c r="I233" s="76"/>
      <c r="J233" s="76"/>
      <c r="K233" s="76"/>
      <c r="L233" s="76"/>
      <c r="M233" s="76"/>
    </row>
    <row r="234" spans="1:13" ht="15.75" customHeight="1" x14ac:dyDescent="0.3">
      <c r="A234" s="72"/>
      <c r="B234" s="42" t="s">
        <v>305</v>
      </c>
      <c r="C234" s="53"/>
      <c r="D234" s="73"/>
      <c r="E234" s="73"/>
      <c r="F234" s="79" t="s">
        <v>24</v>
      </c>
      <c r="G234" s="75" t="s">
        <v>165</v>
      </c>
      <c r="H234" s="76"/>
      <c r="I234" s="76"/>
      <c r="J234" s="76"/>
      <c r="K234" s="76"/>
      <c r="L234" s="76"/>
      <c r="M234" s="76"/>
    </row>
    <row r="235" spans="1:13" ht="15.75" customHeight="1" x14ac:dyDescent="0.3">
      <c r="A235" s="72"/>
      <c r="B235" s="42" t="s">
        <v>306</v>
      </c>
      <c r="C235" s="53"/>
      <c r="D235" s="78" t="s">
        <v>24</v>
      </c>
      <c r="E235" s="73"/>
      <c r="F235" s="79" t="s">
        <v>24</v>
      </c>
      <c r="G235" s="75" t="s">
        <v>165</v>
      </c>
      <c r="H235" s="76"/>
      <c r="I235" s="76"/>
      <c r="J235" s="76"/>
      <c r="K235" s="76"/>
      <c r="L235" s="76"/>
      <c r="M235" s="76"/>
    </row>
    <row r="236" spans="1:13" ht="15.75" customHeight="1" x14ac:dyDescent="0.3">
      <c r="A236" s="72"/>
      <c r="B236" s="42" t="s">
        <v>307</v>
      </c>
      <c r="C236" s="53"/>
      <c r="D236" s="73"/>
      <c r="E236" s="73"/>
      <c r="F236" s="79" t="s">
        <v>24</v>
      </c>
      <c r="G236" s="75" t="s">
        <v>165</v>
      </c>
      <c r="H236" s="76"/>
      <c r="I236" s="76"/>
      <c r="J236" s="76"/>
      <c r="K236" s="76"/>
      <c r="L236" s="76"/>
      <c r="M236" s="76"/>
    </row>
    <row r="237" spans="1:13" ht="15.75" customHeight="1" x14ac:dyDescent="0.3">
      <c r="A237" s="72"/>
      <c r="B237" s="42" t="s">
        <v>308</v>
      </c>
      <c r="C237" s="80"/>
      <c r="D237" s="81">
        <v>5</v>
      </c>
      <c r="E237" s="73"/>
      <c r="F237" s="79" t="s">
        <v>24</v>
      </c>
      <c r="G237" s="75" t="s">
        <v>165</v>
      </c>
      <c r="H237" s="76"/>
      <c r="I237" s="76"/>
      <c r="J237" s="76"/>
      <c r="K237" s="76"/>
      <c r="L237" s="76"/>
      <c r="M237" s="76"/>
    </row>
    <row r="238" spans="1:13" ht="15.75" customHeight="1" x14ac:dyDescent="0.3">
      <c r="A238" s="72"/>
      <c r="B238" s="42" t="s">
        <v>309</v>
      </c>
      <c r="C238" s="53"/>
      <c r="D238" s="78">
        <v>3</v>
      </c>
      <c r="E238" s="73"/>
      <c r="F238" s="79" t="s">
        <v>24</v>
      </c>
      <c r="G238" s="75" t="s">
        <v>165</v>
      </c>
      <c r="H238" s="76"/>
      <c r="I238" s="76"/>
      <c r="J238" s="76"/>
      <c r="K238" s="76"/>
      <c r="L238" s="76"/>
      <c r="M238" s="76"/>
    </row>
    <row r="239" spans="1:13" ht="15.75" customHeight="1" x14ac:dyDescent="0.3">
      <c r="A239" s="72"/>
      <c r="B239" s="42" t="s">
        <v>310</v>
      </c>
      <c r="C239" s="53"/>
      <c r="D239" s="78">
        <v>4</v>
      </c>
      <c r="E239" s="73"/>
      <c r="F239" s="79" t="s">
        <v>24</v>
      </c>
      <c r="G239" s="75" t="s">
        <v>165</v>
      </c>
      <c r="H239" s="76"/>
      <c r="I239" s="76"/>
      <c r="J239" s="76"/>
      <c r="K239" s="76"/>
      <c r="L239" s="76"/>
      <c r="M239" s="76"/>
    </row>
    <row r="240" spans="1:13" ht="15.75" customHeight="1" x14ac:dyDescent="0.3">
      <c r="A240" s="72"/>
      <c r="B240" s="42" t="s">
        <v>167</v>
      </c>
      <c r="C240" s="53"/>
      <c r="D240" s="78" t="s">
        <v>24</v>
      </c>
      <c r="E240" s="73"/>
      <c r="F240" s="79" t="s">
        <v>24</v>
      </c>
      <c r="G240" s="75" t="s">
        <v>165</v>
      </c>
      <c r="H240" s="76"/>
      <c r="I240" s="76"/>
      <c r="J240" s="76"/>
      <c r="K240" s="76"/>
      <c r="L240" s="76"/>
      <c r="M240" s="76"/>
    </row>
    <row r="241" spans="1:13" ht="15.75" customHeight="1" x14ac:dyDescent="0.3">
      <c r="A241" s="72"/>
      <c r="B241" s="42" t="s">
        <v>166</v>
      </c>
      <c r="C241" s="80"/>
      <c r="D241" s="81">
        <v>3</v>
      </c>
      <c r="E241" s="73"/>
      <c r="F241" s="79" t="s">
        <v>24</v>
      </c>
      <c r="G241" s="75" t="s">
        <v>165</v>
      </c>
      <c r="H241" s="76"/>
      <c r="I241" s="76"/>
      <c r="J241" s="76"/>
      <c r="K241" s="76"/>
      <c r="L241" s="76"/>
      <c r="M241" s="76"/>
    </row>
    <row r="242" spans="1:13" ht="15.75" customHeight="1" x14ac:dyDescent="0.3">
      <c r="A242" s="72"/>
      <c r="B242" s="42" t="s">
        <v>311</v>
      </c>
      <c r="C242" s="53"/>
      <c r="D242" s="78" t="s">
        <v>24</v>
      </c>
      <c r="E242" s="73"/>
      <c r="F242" s="79" t="s">
        <v>24</v>
      </c>
      <c r="G242" s="75" t="s">
        <v>165</v>
      </c>
      <c r="H242" s="76"/>
      <c r="I242" s="76"/>
      <c r="J242" s="76"/>
      <c r="K242" s="76"/>
      <c r="L242" s="76"/>
      <c r="M242" s="76"/>
    </row>
    <row r="243" spans="1:13" ht="15.75" customHeight="1" x14ac:dyDescent="0.3">
      <c r="A243" s="72"/>
      <c r="B243" s="42" t="s">
        <v>312</v>
      </c>
      <c r="C243" s="53"/>
      <c r="D243" s="79">
        <v>3</v>
      </c>
      <c r="E243" s="79">
        <v>4</v>
      </c>
      <c r="F243" s="79" t="s">
        <v>24</v>
      </c>
      <c r="G243" s="75" t="s">
        <v>165</v>
      </c>
      <c r="H243" s="76"/>
      <c r="I243" s="76"/>
      <c r="J243" s="76"/>
      <c r="K243" s="76"/>
      <c r="L243" s="76"/>
      <c r="M243" s="76"/>
    </row>
    <row r="244" spans="1:13" ht="15.75" customHeight="1" x14ac:dyDescent="0.3">
      <c r="A244" s="72"/>
      <c r="B244" s="42" t="s">
        <v>313</v>
      </c>
      <c r="C244" s="53"/>
      <c r="D244" s="73"/>
      <c r="E244" s="73"/>
      <c r="F244" s="79" t="s">
        <v>24</v>
      </c>
      <c r="G244" s="75" t="s">
        <v>165</v>
      </c>
      <c r="H244" s="76"/>
      <c r="I244" s="76"/>
      <c r="J244" s="76"/>
      <c r="K244" s="76"/>
      <c r="L244" s="76"/>
      <c r="M244" s="76"/>
    </row>
    <row r="245" spans="1:13" ht="15.75" customHeight="1" x14ac:dyDescent="0.3">
      <c r="A245" s="72"/>
      <c r="B245" s="42" t="s">
        <v>314</v>
      </c>
      <c r="C245" s="80"/>
      <c r="D245" s="81" t="s">
        <v>24</v>
      </c>
      <c r="E245" s="73"/>
      <c r="F245" s="79" t="s">
        <v>24</v>
      </c>
      <c r="G245" s="75" t="s">
        <v>165</v>
      </c>
      <c r="H245" s="76"/>
      <c r="I245" s="76"/>
      <c r="J245" s="76"/>
      <c r="K245" s="76"/>
      <c r="L245" s="76"/>
      <c r="M245" s="76"/>
    </row>
    <row r="246" spans="1:13" ht="15.75" customHeight="1" x14ac:dyDescent="0.3">
      <c r="A246" s="72"/>
      <c r="B246" s="42" t="s">
        <v>315</v>
      </c>
      <c r="C246" s="80"/>
      <c r="D246" s="81">
        <v>5</v>
      </c>
      <c r="E246" s="73"/>
      <c r="F246" s="79" t="s">
        <v>24</v>
      </c>
      <c r="G246" s="75" t="s">
        <v>165</v>
      </c>
      <c r="H246" s="76"/>
      <c r="I246" s="76"/>
      <c r="J246" s="76"/>
      <c r="K246" s="76"/>
      <c r="L246" s="76"/>
      <c r="M246" s="76"/>
    </row>
    <row r="247" spans="1:13" ht="15.75" customHeight="1" x14ac:dyDescent="0.3">
      <c r="A247" s="72"/>
      <c r="B247" s="42" t="s">
        <v>316</v>
      </c>
      <c r="C247" s="53"/>
      <c r="D247" s="78">
        <v>4</v>
      </c>
      <c r="E247" s="73"/>
      <c r="F247" s="79" t="s">
        <v>24</v>
      </c>
      <c r="G247" s="75" t="s">
        <v>165</v>
      </c>
      <c r="H247" s="76"/>
      <c r="I247" s="76"/>
      <c r="J247" s="76"/>
      <c r="K247" s="76"/>
      <c r="L247" s="76"/>
      <c r="M247" s="76"/>
    </row>
    <row r="248" spans="1:13" ht="15.75" customHeight="1" x14ac:dyDescent="0.3">
      <c r="A248" s="72"/>
      <c r="B248" s="42" t="s">
        <v>317</v>
      </c>
      <c r="C248" s="80"/>
      <c r="D248" s="84">
        <v>3</v>
      </c>
      <c r="E248" s="79">
        <v>4</v>
      </c>
      <c r="F248" s="79" t="s">
        <v>24</v>
      </c>
      <c r="G248" s="75" t="s">
        <v>165</v>
      </c>
      <c r="H248" s="76"/>
      <c r="I248" s="76"/>
      <c r="J248" s="76"/>
      <c r="K248" s="76"/>
      <c r="L248" s="76"/>
      <c r="M248" s="76"/>
    </row>
    <row r="249" spans="1:13" ht="15.75" customHeight="1" x14ac:dyDescent="0.3">
      <c r="A249" s="72"/>
      <c r="B249" s="42" t="s">
        <v>318</v>
      </c>
      <c r="C249" s="53"/>
      <c r="D249" s="73"/>
      <c r="E249" s="73"/>
      <c r="F249" s="79" t="s">
        <v>24</v>
      </c>
      <c r="G249" s="75" t="s">
        <v>165</v>
      </c>
      <c r="H249" s="76"/>
      <c r="I249" s="76"/>
      <c r="J249" s="76"/>
      <c r="K249" s="76"/>
      <c r="L249" s="76"/>
      <c r="M249" s="76"/>
    </row>
    <row r="250" spans="1:13" ht="15.75" customHeight="1" x14ac:dyDescent="0.3">
      <c r="A250" s="72"/>
      <c r="B250" s="42" t="s">
        <v>168</v>
      </c>
      <c r="C250" s="80"/>
      <c r="D250" s="81">
        <v>3</v>
      </c>
      <c r="E250" s="73"/>
      <c r="F250" s="79" t="s">
        <v>24</v>
      </c>
      <c r="G250" s="75" t="s">
        <v>165</v>
      </c>
      <c r="H250" s="76"/>
      <c r="I250" s="76"/>
      <c r="J250" s="76"/>
      <c r="K250" s="76"/>
      <c r="L250" s="76"/>
      <c r="M250" s="76"/>
    </row>
    <row r="251" spans="1:13" ht="15.75" customHeight="1" x14ac:dyDescent="0.3">
      <c r="A251" s="72"/>
      <c r="B251" s="42" t="s">
        <v>170</v>
      </c>
      <c r="C251" s="53"/>
      <c r="D251" s="73"/>
      <c r="E251" s="73"/>
      <c r="F251" s="79">
        <v>3</v>
      </c>
      <c r="G251" s="40" t="s">
        <v>171</v>
      </c>
      <c r="H251" s="76"/>
      <c r="I251" s="76"/>
      <c r="J251" s="76"/>
      <c r="K251" s="76"/>
      <c r="L251" s="76"/>
      <c r="M251" s="76"/>
    </row>
    <row r="252" spans="1:13" ht="15.75" customHeight="1" x14ac:dyDescent="0.3">
      <c r="A252" s="42"/>
      <c r="B252" s="42" t="s">
        <v>174</v>
      </c>
      <c r="C252" s="79">
        <v>5</v>
      </c>
      <c r="D252" s="79" t="s">
        <v>24</v>
      </c>
      <c r="E252" s="85"/>
      <c r="F252" s="79">
        <v>3</v>
      </c>
      <c r="G252" s="40" t="s">
        <v>173</v>
      </c>
      <c r="H252" s="76"/>
      <c r="I252" s="76"/>
      <c r="J252" s="86">
        <v>10.24</v>
      </c>
      <c r="K252" s="76"/>
      <c r="L252" s="76"/>
      <c r="M252" s="76"/>
    </row>
    <row r="253" spans="1:13" ht="15.75" customHeight="1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</row>
    <row r="254" spans="1:13" ht="15.75" customHeight="1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</row>
    <row r="255" spans="1:13" ht="15.75" customHeight="1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</row>
    <row r="256" spans="1:13" ht="15.75" customHeight="1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</row>
    <row r="257" spans="1:13" ht="15.75" customHeight="1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</row>
    <row r="258" spans="1:13" ht="15.75" customHeight="1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</row>
    <row r="259" spans="1:13" ht="15.75" customHeight="1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</row>
    <row r="260" spans="1:13" ht="15.75" customHeight="1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</row>
    <row r="261" spans="1:13" ht="15.75" customHeight="1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</row>
    <row r="262" spans="1:13" ht="15.75" customHeight="1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</row>
    <row r="263" spans="1:13" ht="15.75" customHeight="1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</row>
    <row r="264" spans="1:13" ht="15.75" customHeight="1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</row>
    <row r="265" spans="1:13" ht="15.75" customHeight="1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</row>
    <row r="266" spans="1:13" ht="15.75" customHeight="1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</row>
    <row r="267" spans="1:13" ht="15.75" customHeight="1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</row>
    <row r="268" spans="1:13" ht="15.75" customHeight="1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</row>
    <row r="269" spans="1:13" ht="15.75" customHeight="1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</row>
    <row r="270" spans="1:13" ht="15.75" customHeight="1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</row>
    <row r="271" spans="1:13" ht="15.75" customHeight="1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</row>
    <row r="272" spans="1:13" ht="15.75" customHeight="1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</row>
    <row r="273" spans="1:13" ht="15.75" customHeight="1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</row>
    <row r="274" spans="1:13" ht="15.75" customHeight="1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</row>
    <row r="275" spans="1:13" ht="15.75" customHeight="1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</row>
    <row r="276" spans="1:13" ht="15.75" customHeight="1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</row>
    <row r="277" spans="1:13" ht="15.75" customHeight="1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</row>
    <row r="278" spans="1:13" ht="15.75" customHeight="1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</row>
    <row r="279" spans="1:13" ht="15.75" customHeight="1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</row>
    <row r="280" spans="1:13" ht="15.75" customHeight="1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</row>
    <row r="281" spans="1:13" ht="15.75" customHeight="1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</row>
    <row r="282" spans="1:13" ht="15.75" customHeight="1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</row>
    <row r="283" spans="1:13" ht="15.75" customHeight="1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</row>
    <row r="284" spans="1:13" ht="15.75" customHeight="1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</row>
    <row r="285" spans="1:13" ht="15.75" customHeight="1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</row>
    <row r="286" spans="1:13" ht="15.75" customHeight="1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</row>
    <row r="287" spans="1:13" ht="15.75" customHeight="1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</row>
    <row r="288" spans="1:13" ht="15.75" customHeight="1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</row>
    <row r="289" spans="1:13" ht="15.75" customHeight="1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</row>
    <row r="290" spans="1:13" ht="15.75" customHeight="1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</row>
    <row r="291" spans="1:13" ht="15.75" customHeight="1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</row>
    <row r="292" spans="1:13" ht="15.75" customHeight="1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</row>
    <row r="293" spans="1:13" ht="15.75" customHeight="1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</row>
    <row r="294" spans="1:13" ht="15.75" customHeight="1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</row>
    <row r="295" spans="1:13" ht="15.75" customHeight="1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</row>
    <row r="296" spans="1:13" ht="15.75" customHeight="1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</row>
    <row r="297" spans="1:13" ht="15.75" customHeight="1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</row>
    <row r="298" spans="1:13" ht="15.75" customHeight="1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</row>
    <row r="299" spans="1:13" ht="15.75" customHeight="1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</row>
    <row r="300" spans="1:13" ht="15.75" customHeight="1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</row>
    <row r="301" spans="1:13" ht="15.75" customHeight="1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</row>
    <row r="302" spans="1:13" ht="15.75" customHeight="1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</row>
    <row r="303" spans="1:13" ht="15.75" customHeight="1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</row>
    <row r="304" spans="1:13" ht="15.75" customHeight="1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</row>
    <row r="305" spans="1:13" ht="15.75" customHeight="1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</row>
    <row r="306" spans="1:13" ht="15.75" customHeight="1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</row>
    <row r="307" spans="1:13" ht="15.75" customHeight="1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</row>
    <row r="308" spans="1:13" ht="15.75" customHeight="1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</row>
    <row r="309" spans="1:13" ht="15.75" customHeight="1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</row>
    <row r="310" spans="1:13" ht="15.75" customHeight="1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</row>
    <row r="311" spans="1:13" ht="15.75" customHeight="1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</row>
    <row r="312" spans="1:13" ht="15.75" customHeight="1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</row>
    <row r="313" spans="1:13" ht="15.75" customHeight="1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</row>
    <row r="314" spans="1:13" ht="15.75" customHeight="1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</row>
    <row r="315" spans="1:13" ht="15.75" customHeight="1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</row>
    <row r="316" spans="1:13" ht="15.75" customHeight="1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</row>
    <row r="317" spans="1:13" ht="15.75" customHeight="1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</row>
    <row r="318" spans="1:13" ht="15.75" customHeight="1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</row>
    <row r="319" spans="1:13" ht="15.75" customHeight="1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</row>
    <row r="320" spans="1:13" ht="15.75" customHeight="1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</row>
    <row r="321" spans="1:13" ht="15.75" customHeight="1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</row>
    <row r="322" spans="1:13" ht="15.75" customHeight="1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</row>
    <row r="323" spans="1:13" ht="15.75" customHeight="1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</row>
    <row r="324" spans="1:13" ht="15.75" customHeight="1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</row>
    <row r="325" spans="1:13" ht="15.75" customHeight="1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</row>
    <row r="326" spans="1:13" ht="15.75" customHeight="1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</row>
    <row r="327" spans="1:13" ht="15.75" customHeight="1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</row>
    <row r="328" spans="1:13" ht="15.75" customHeight="1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</row>
    <row r="329" spans="1:13" ht="15.75" customHeight="1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</row>
    <row r="330" spans="1:13" ht="15.75" customHeight="1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</row>
    <row r="331" spans="1:13" ht="15.75" customHeight="1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</row>
    <row r="332" spans="1:13" ht="15.75" customHeight="1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</row>
    <row r="333" spans="1:13" ht="15.75" customHeight="1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</row>
    <row r="334" spans="1:13" ht="15.75" customHeight="1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</row>
    <row r="335" spans="1:13" ht="15.75" customHeight="1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</row>
    <row r="336" spans="1:13" ht="15.75" customHeight="1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</row>
    <row r="337" spans="1:13" ht="15.75" customHeight="1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</row>
    <row r="338" spans="1:13" ht="15.75" customHeight="1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</row>
    <row r="339" spans="1:13" ht="15.75" customHeight="1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</row>
    <row r="340" spans="1:13" ht="15.75" customHeight="1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</row>
    <row r="341" spans="1:13" ht="15.75" customHeight="1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</row>
    <row r="342" spans="1:13" ht="15.75" customHeight="1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</row>
    <row r="343" spans="1:13" ht="15.75" customHeight="1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</row>
    <row r="344" spans="1:13" ht="15.75" customHeight="1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</row>
    <row r="345" spans="1:13" ht="15.75" customHeight="1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</row>
    <row r="346" spans="1:13" ht="15.75" customHeight="1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</row>
    <row r="347" spans="1:13" ht="15.75" customHeight="1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</row>
    <row r="348" spans="1:13" ht="15.75" customHeight="1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</row>
    <row r="349" spans="1:13" ht="15.75" customHeight="1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</row>
    <row r="350" spans="1:13" ht="15.75" customHeight="1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</row>
    <row r="351" spans="1:13" ht="15.75" customHeight="1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</row>
    <row r="352" spans="1:13" ht="15.75" customHeight="1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</row>
    <row r="353" spans="1:13" ht="15.75" customHeight="1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</row>
    <row r="354" spans="1:13" ht="15.75" customHeight="1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</row>
    <row r="355" spans="1:13" ht="15.75" customHeight="1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</row>
    <row r="356" spans="1:13" ht="15.75" customHeight="1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</row>
    <row r="357" spans="1:13" ht="15.75" customHeight="1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</row>
    <row r="358" spans="1:13" ht="15.75" customHeight="1" x14ac:dyDescent="0.3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</row>
    <row r="359" spans="1:13" ht="15.75" customHeight="1" x14ac:dyDescent="0.3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</row>
    <row r="360" spans="1:13" ht="15.75" customHeight="1" x14ac:dyDescent="0.3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</row>
    <row r="361" spans="1:13" ht="15.75" customHeight="1" x14ac:dyDescent="0.3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</row>
    <row r="362" spans="1:13" ht="15.75" customHeight="1" x14ac:dyDescent="0.3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</row>
    <row r="363" spans="1:13" ht="15.75" customHeight="1" x14ac:dyDescent="0.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</row>
    <row r="364" spans="1:13" ht="15.75" customHeight="1" x14ac:dyDescent="0.3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</row>
    <row r="365" spans="1:13" ht="15.75" customHeight="1" x14ac:dyDescent="0.3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</row>
    <row r="366" spans="1:13" ht="15.75" customHeight="1" x14ac:dyDescent="0.3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</row>
    <row r="367" spans="1:13" ht="15.75" customHeight="1" x14ac:dyDescent="0.3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</row>
    <row r="368" spans="1:13" ht="15.75" customHeight="1" x14ac:dyDescent="0.3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</row>
    <row r="369" spans="1:13" ht="15.75" customHeight="1" x14ac:dyDescent="0.3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</row>
    <row r="370" spans="1:13" ht="15.75" customHeight="1" x14ac:dyDescent="0.3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</row>
    <row r="371" spans="1:13" ht="15.75" customHeight="1" x14ac:dyDescent="0.3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</row>
    <row r="372" spans="1:13" ht="15.75" customHeight="1" x14ac:dyDescent="0.3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</row>
    <row r="373" spans="1:13" ht="15.75" customHeight="1" x14ac:dyDescent="0.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</row>
    <row r="374" spans="1:13" ht="15.75" customHeight="1" x14ac:dyDescent="0.3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</row>
    <row r="375" spans="1:13" ht="15.75" customHeight="1" x14ac:dyDescent="0.3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</row>
    <row r="376" spans="1:13" ht="15.75" customHeight="1" x14ac:dyDescent="0.3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</row>
    <row r="377" spans="1:13" ht="15.75" customHeight="1" x14ac:dyDescent="0.3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</row>
    <row r="378" spans="1:13" ht="15.75" customHeight="1" x14ac:dyDescent="0.3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</row>
    <row r="379" spans="1:13" ht="15.75" customHeight="1" x14ac:dyDescent="0.3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</row>
    <row r="380" spans="1:13" ht="15.75" customHeight="1" x14ac:dyDescent="0.3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</row>
    <row r="381" spans="1:13" ht="15.75" customHeight="1" x14ac:dyDescent="0.3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</row>
    <row r="382" spans="1:13" ht="15.75" customHeight="1" x14ac:dyDescent="0.3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</row>
    <row r="383" spans="1:13" ht="15.75" customHeight="1" x14ac:dyDescent="0.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</row>
    <row r="384" spans="1:13" ht="15.75" customHeight="1" x14ac:dyDescent="0.3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</row>
    <row r="385" spans="1:13" ht="15.75" customHeight="1" x14ac:dyDescent="0.3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</row>
    <row r="386" spans="1:13" ht="15.75" customHeight="1" x14ac:dyDescent="0.3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</row>
    <row r="387" spans="1:13" ht="15.75" customHeight="1" x14ac:dyDescent="0.3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</row>
    <row r="388" spans="1:13" ht="15.75" customHeight="1" x14ac:dyDescent="0.3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</row>
    <row r="389" spans="1:13" ht="15.75" customHeight="1" x14ac:dyDescent="0.3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</row>
    <row r="390" spans="1:13" ht="15.75" customHeight="1" x14ac:dyDescent="0.3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</row>
    <row r="391" spans="1:13" ht="15.75" customHeight="1" x14ac:dyDescent="0.3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</row>
    <row r="392" spans="1:13" ht="15.75" customHeight="1" x14ac:dyDescent="0.3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</row>
    <row r="393" spans="1:13" ht="15.75" customHeight="1" x14ac:dyDescent="0.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</row>
    <row r="394" spans="1:13" ht="15.75" customHeight="1" x14ac:dyDescent="0.3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</row>
    <row r="395" spans="1:13" ht="15.75" customHeight="1" x14ac:dyDescent="0.3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</row>
    <row r="396" spans="1:13" ht="15.75" customHeight="1" x14ac:dyDescent="0.3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</row>
    <row r="397" spans="1:13" ht="15.75" customHeight="1" x14ac:dyDescent="0.3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</row>
    <row r="398" spans="1:13" ht="15.75" customHeight="1" x14ac:dyDescent="0.3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</row>
    <row r="399" spans="1:13" ht="15.75" customHeight="1" x14ac:dyDescent="0.3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</row>
    <row r="400" spans="1:13" ht="15.75" customHeight="1" x14ac:dyDescent="0.3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</row>
    <row r="401" spans="1:13" ht="15.75" customHeight="1" x14ac:dyDescent="0.3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</row>
    <row r="402" spans="1:13" ht="15.75" customHeight="1" x14ac:dyDescent="0.3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</row>
    <row r="403" spans="1:13" ht="15.75" customHeight="1" x14ac:dyDescent="0.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</row>
    <row r="404" spans="1:13" ht="15.75" customHeight="1" x14ac:dyDescent="0.3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</row>
    <row r="405" spans="1:13" ht="15.75" customHeight="1" x14ac:dyDescent="0.3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</row>
    <row r="406" spans="1:13" ht="15.75" customHeight="1" x14ac:dyDescent="0.3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</row>
    <row r="407" spans="1:13" ht="15.75" customHeight="1" x14ac:dyDescent="0.3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</row>
    <row r="408" spans="1:13" ht="15.75" customHeight="1" x14ac:dyDescent="0.3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</row>
    <row r="409" spans="1:13" ht="15.75" customHeight="1" x14ac:dyDescent="0.3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</row>
    <row r="410" spans="1:13" ht="15.75" customHeight="1" x14ac:dyDescent="0.3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</row>
    <row r="411" spans="1:13" ht="15.75" customHeight="1" x14ac:dyDescent="0.3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</row>
    <row r="412" spans="1:13" ht="15.75" customHeight="1" x14ac:dyDescent="0.3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</row>
    <row r="413" spans="1:13" ht="15.75" customHeight="1" x14ac:dyDescent="0.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</row>
    <row r="414" spans="1:13" ht="15.75" customHeight="1" x14ac:dyDescent="0.3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</row>
    <row r="415" spans="1:13" ht="15.75" customHeight="1" x14ac:dyDescent="0.3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</row>
    <row r="416" spans="1:13" ht="15.75" customHeight="1" x14ac:dyDescent="0.3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</row>
    <row r="417" spans="1:13" ht="15.75" customHeight="1" x14ac:dyDescent="0.3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</row>
    <row r="418" spans="1:13" ht="15.75" customHeight="1" x14ac:dyDescent="0.3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</row>
    <row r="419" spans="1:13" ht="15.75" customHeight="1" x14ac:dyDescent="0.3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</row>
    <row r="420" spans="1:13" ht="15.75" customHeight="1" x14ac:dyDescent="0.3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</row>
    <row r="421" spans="1:13" ht="15.75" customHeight="1" x14ac:dyDescent="0.3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</row>
    <row r="422" spans="1:13" ht="15.75" customHeight="1" x14ac:dyDescent="0.3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</row>
    <row r="423" spans="1:13" ht="15.75" customHeight="1" x14ac:dyDescent="0.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</row>
    <row r="424" spans="1:13" ht="15.75" customHeight="1" x14ac:dyDescent="0.3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</row>
    <row r="425" spans="1:13" ht="15.75" customHeight="1" x14ac:dyDescent="0.3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</row>
    <row r="426" spans="1:13" ht="15.75" customHeight="1" x14ac:dyDescent="0.3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</row>
    <row r="427" spans="1:13" ht="15.75" customHeight="1" x14ac:dyDescent="0.3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</row>
    <row r="428" spans="1:13" ht="15.75" customHeight="1" x14ac:dyDescent="0.3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</row>
    <row r="429" spans="1:13" ht="15.75" customHeight="1" x14ac:dyDescent="0.3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</row>
    <row r="430" spans="1:13" ht="15.75" customHeight="1" x14ac:dyDescent="0.3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</row>
    <row r="431" spans="1:13" ht="15.75" customHeight="1" x14ac:dyDescent="0.3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</row>
    <row r="432" spans="1:13" ht="15.75" customHeight="1" x14ac:dyDescent="0.3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</row>
    <row r="433" spans="1:13" ht="15.75" customHeight="1" x14ac:dyDescent="0.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</row>
    <row r="434" spans="1:13" ht="15.75" customHeight="1" x14ac:dyDescent="0.3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</row>
    <row r="435" spans="1:13" ht="15.75" customHeight="1" x14ac:dyDescent="0.3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</row>
    <row r="436" spans="1:13" ht="15.75" customHeight="1" x14ac:dyDescent="0.3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</row>
    <row r="437" spans="1:13" ht="15.75" customHeight="1" x14ac:dyDescent="0.3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</row>
    <row r="438" spans="1:13" ht="15.75" customHeight="1" x14ac:dyDescent="0.3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</row>
    <row r="439" spans="1:13" ht="15.75" customHeight="1" x14ac:dyDescent="0.3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</row>
    <row r="440" spans="1:13" ht="15.75" customHeight="1" x14ac:dyDescent="0.3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</row>
    <row r="441" spans="1:13" ht="15.75" customHeight="1" x14ac:dyDescent="0.3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</row>
    <row r="442" spans="1:13" ht="15.75" customHeight="1" x14ac:dyDescent="0.3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</row>
    <row r="443" spans="1:13" ht="15.75" customHeight="1" x14ac:dyDescent="0.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</row>
    <row r="444" spans="1:13" ht="15.75" customHeight="1" x14ac:dyDescent="0.3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</row>
    <row r="445" spans="1:13" ht="15.75" customHeight="1" x14ac:dyDescent="0.3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</row>
    <row r="446" spans="1:13" ht="15.75" customHeight="1" x14ac:dyDescent="0.3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</row>
    <row r="447" spans="1:13" ht="15.75" customHeight="1" x14ac:dyDescent="0.3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</row>
    <row r="448" spans="1:13" ht="15.75" customHeight="1" x14ac:dyDescent="0.3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</row>
    <row r="449" spans="1:13" ht="15.75" customHeight="1" x14ac:dyDescent="0.3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</row>
    <row r="450" spans="1:13" ht="15.75" customHeight="1" x14ac:dyDescent="0.3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</row>
    <row r="451" spans="1:13" ht="15.75" customHeight="1" x14ac:dyDescent="0.3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</row>
    <row r="452" spans="1:13" ht="15.75" customHeight="1" x14ac:dyDescent="0.3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</row>
    <row r="453" spans="1:13" ht="15.75" customHeight="1" x14ac:dyDescent="0.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</row>
    <row r="454" spans="1:13" ht="15.75" customHeight="1" x14ac:dyDescent="0.3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</row>
    <row r="455" spans="1:13" ht="15.75" customHeight="1" x14ac:dyDescent="0.3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</row>
    <row r="456" spans="1:13" ht="15.75" customHeight="1" x14ac:dyDescent="0.3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</row>
    <row r="457" spans="1:13" ht="15.75" customHeight="1" x14ac:dyDescent="0.3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</row>
    <row r="458" spans="1:13" ht="15.75" customHeight="1" x14ac:dyDescent="0.3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</row>
    <row r="459" spans="1:13" ht="15.75" customHeight="1" x14ac:dyDescent="0.3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</row>
    <row r="460" spans="1:13" ht="15.75" customHeight="1" x14ac:dyDescent="0.3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</row>
    <row r="461" spans="1:13" ht="15.75" customHeight="1" x14ac:dyDescent="0.3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</row>
    <row r="462" spans="1:13" ht="15.75" customHeight="1" x14ac:dyDescent="0.3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</row>
    <row r="463" spans="1:13" ht="15.75" customHeight="1" x14ac:dyDescent="0.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</row>
    <row r="464" spans="1:13" ht="15.75" customHeight="1" x14ac:dyDescent="0.3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</row>
    <row r="465" spans="1:13" ht="15.75" customHeight="1" x14ac:dyDescent="0.3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</row>
    <row r="466" spans="1:13" ht="15.75" customHeight="1" x14ac:dyDescent="0.3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</row>
    <row r="467" spans="1:13" ht="15.75" customHeight="1" x14ac:dyDescent="0.3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</row>
    <row r="468" spans="1:13" ht="15.75" customHeight="1" x14ac:dyDescent="0.3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</row>
    <row r="469" spans="1:13" ht="15.75" customHeight="1" x14ac:dyDescent="0.3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</row>
    <row r="470" spans="1:13" ht="15.75" customHeight="1" x14ac:dyDescent="0.3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</row>
    <row r="471" spans="1:13" ht="15.75" customHeight="1" x14ac:dyDescent="0.3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</row>
    <row r="472" spans="1:13" ht="15.75" customHeight="1" x14ac:dyDescent="0.3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</row>
    <row r="473" spans="1:13" ht="15.75" customHeight="1" x14ac:dyDescent="0.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</row>
    <row r="474" spans="1:13" ht="15.75" customHeight="1" x14ac:dyDescent="0.3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</row>
    <row r="475" spans="1:13" ht="15.75" customHeight="1" x14ac:dyDescent="0.3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</row>
    <row r="476" spans="1:13" ht="15.75" customHeight="1" x14ac:dyDescent="0.3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</row>
    <row r="477" spans="1:13" ht="15.75" customHeight="1" x14ac:dyDescent="0.3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</row>
    <row r="478" spans="1:13" ht="15.75" customHeight="1" x14ac:dyDescent="0.3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</row>
    <row r="479" spans="1:13" ht="15.75" customHeight="1" x14ac:dyDescent="0.3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</row>
    <row r="480" spans="1:13" ht="15.75" customHeight="1" x14ac:dyDescent="0.3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</row>
    <row r="481" spans="1:13" ht="15.75" customHeight="1" x14ac:dyDescent="0.3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</row>
    <row r="482" spans="1:13" ht="15.75" customHeight="1" x14ac:dyDescent="0.3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</row>
    <row r="483" spans="1:13" ht="15.75" customHeight="1" x14ac:dyDescent="0.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</row>
    <row r="484" spans="1:13" ht="15.75" customHeight="1" x14ac:dyDescent="0.3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</row>
    <row r="485" spans="1:13" ht="15.75" customHeight="1" x14ac:dyDescent="0.3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</row>
    <row r="486" spans="1:13" ht="15.75" customHeight="1" x14ac:dyDescent="0.3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</row>
    <row r="487" spans="1:13" ht="15.75" customHeight="1" x14ac:dyDescent="0.3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</row>
    <row r="488" spans="1:13" ht="15.75" customHeight="1" x14ac:dyDescent="0.3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</row>
    <row r="489" spans="1:13" ht="15.75" customHeight="1" x14ac:dyDescent="0.3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</row>
    <row r="490" spans="1:13" ht="15.75" customHeight="1" x14ac:dyDescent="0.3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</row>
    <row r="491" spans="1:13" ht="15.75" customHeight="1" x14ac:dyDescent="0.3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</row>
    <row r="492" spans="1:13" ht="15.75" customHeight="1" x14ac:dyDescent="0.3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</row>
    <row r="493" spans="1:13" ht="15.75" customHeight="1" x14ac:dyDescent="0.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</row>
    <row r="494" spans="1:13" ht="15.75" customHeight="1" x14ac:dyDescent="0.3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</row>
    <row r="495" spans="1:13" ht="15.75" customHeight="1" x14ac:dyDescent="0.3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</row>
    <row r="496" spans="1:13" ht="15.75" customHeight="1" x14ac:dyDescent="0.3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</row>
    <row r="497" spans="1:13" ht="15.75" customHeight="1" x14ac:dyDescent="0.3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</row>
    <row r="498" spans="1:13" ht="15.75" customHeight="1" x14ac:dyDescent="0.3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</row>
    <row r="499" spans="1:13" ht="15.75" customHeight="1" x14ac:dyDescent="0.3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</row>
    <row r="500" spans="1:13" ht="15.75" customHeight="1" x14ac:dyDescent="0.3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</row>
    <row r="501" spans="1:13" ht="15.75" customHeight="1" x14ac:dyDescent="0.3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</row>
    <row r="502" spans="1:13" ht="15.75" customHeight="1" x14ac:dyDescent="0.3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</row>
    <row r="503" spans="1:13" ht="15.75" customHeight="1" x14ac:dyDescent="0.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</row>
    <row r="504" spans="1:13" ht="15.75" customHeight="1" x14ac:dyDescent="0.3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</row>
    <row r="505" spans="1:13" ht="15.75" customHeight="1" x14ac:dyDescent="0.3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</row>
    <row r="506" spans="1:13" ht="15.75" customHeight="1" x14ac:dyDescent="0.3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</row>
    <row r="507" spans="1:13" ht="15.75" customHeight="1" x14ac:dyDescent="0.3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</row>
    <row r="508" spans="1:13" ht="15.75" customHeight="1" x14ac:dyDescent="0.3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</row>
    <row r="509" spans="1:13" ht="15.75" customHeight="1" x14ac:dyDescent="0.3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</row>
    <row r="510" spans="1:13" ht="15.75" customHeight="1" x14ac:dyDescent="0.3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</row>
    <row r="511" spans="1:13" ht="15.75" customHeight="1" x14ac:dyDescent="0.3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</row>
    <row r="512" spans="1:13" ht="15.75" customHeight="1" x14ac:dyDescent="0.3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</row>
    <row r="513" spans="1:13" ht="15.75" customHeight="1" x14ac:dyDescent="0.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</row>
    <row r="514" spans="1:13" ht="15.75" customHeight="1" x14ac:dyDescent="0.3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</row>
    <row r="515" spans="1:13" ht="15.75" customHeight="1" x14ac:dyDescent="0.3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</row>
    <row r="516" spans="1:13" ht="15.75" customHeight="1" x14ac:dyDescent="0.3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</row>
    <row r="517" spans="1:13" ht="15.75" customHeight="1" x14ac:dyDescent="0.3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</row>
    <row r="518" spans="1:13" ht="15.75" customHeight="1" x14ac:dyDescent="0.3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</row>
    <row r="519" spans="1:13" ht="15.75" customHeight="1" x14ac:dyDescent="0.3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</row>
    <row r="520" spans="1:13" ht="15.75" customHeight="1" x14ac:dyDescent="0.3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</row>
    <row r="521" spans="1:13" ht="15.75" customHeight="1" x14ac:dyDescent="0.3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</row>
    <row r="522" spans="1:13" ht="15.75" customHeight="1" x14ac:dyDescent="0.3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</row>
    <row r="523" spans="1:13" ht="15.75" customHeight="1" x14ac:dyDescent="0.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</row>
    <row r="524" spans="1:13" ht="15.75" customHeight="1" x14ac:dyDescent="0.3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</row>
    <row r="525" spans="1:13" ht="15.75" customHeight="1" x14ac:dyDescent="0.3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</row>
    <row r="526" spans="1:13" ht="15.75" customHeight="1" x14ac:dyDescent="0.3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</row>
    <row r="527" spans="1:13" ht="15.75" customHeight="1" x14ac:dyDescent="0.3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</row>
    <row r="528" spans="1:13" ht="15.75" customHeight="1" x14ac:dyDescent="0.3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</row>
    <row r="529" spans="1:13" ht="15.75" customHeight="1" x14ac:dyDescent="0.3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</row>
    <row r="530" spans="1:13" ht="15.75" customHeight="1" x14ac:dyDescent="0.3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</row>
    <row r="531" spans="1:13" ht="15.75" customHeight="1" x14ac:dyDescent="0.3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</row>
    <row r="532" spans="1:13" ht="15.75" customHeight="1" x14ac:dyDescent="0.3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</row>
    <row r="533" spans="1:13" ht="15.75" customHeight="1" x14ac:dyDescent="0.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</row>
    <row r="534" spans="1:13" ht="15.75" customHeight="1" x14ac:dyDescent="0.3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</row>
    <row r="535" spans="1:13" ht="15.75" customHeight="1" x14ac:dyDescent="0.3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</row>
    <row r="536" spans="1:13" ht="15.75" customHeight="1" x14ac:dyDescent="0.3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</row>
    <row r="537" spans="1:13" ht="15.75" customHeight="1" x14ac:dyDescent="0.3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</row>
    <row r="538" spans="1:13" ht="15.75" customHeight="1" x14ac:dyDescent="0.3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</row>
    <row r="539" spans="1:13" ht="15.75" customHeight="1" x14ac:dyDescent="0.3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</row>
    <row r="540" spans="1:13" ht="15.75" customHeight="1" x14ac:dyDescent="0.3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</row>
    <row r="541" spans="1:13" ht="15.75" customHeight="1" x14ac:dyDescent="0.3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</row>
    <row r="542" spans="1:13" ht="15.75" customHeight="1" x14ac:dyDescent="0.3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</row>
    <row r="543" spans="1:13" ht="15.75" customHeight="1" x14ac:dyDescent="0.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</row>
    <row r="544" spans="1:13" ht="15.75" customHeight="1" x14ac:dyDescent="0.3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</row>
    <row r="545" spans="1:13" ht="15.75" customHeight="1" x14ac:dyDescent="0.3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</row>
    <row r="546" spans="1:13" ht="15.75" customHeight="1" x14ac:dyDescent="0.3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</row>
    <row r="547" spans="1:13" ht="15.75" customHeight="1" x14ac:dyDescent="0.3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</row>
    <row r="548" spans="1:13" ht="15.75" customHeight="1" x14ac:dyDescent="0.3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</row>
    <row r="549" spans="1:13" ht="15.75" customHeight="1" x14ac:dyDescent="0.3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</row>
    <row r="550" spans="1:13" ht="15.75" customHeight="1" x14ac:dyDescent="0.3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</row>
    <row r="551" spans="1:13" ht="15.75" customHeight="1" x14ac:dyDescent="0.3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</row>
    <row r="552" spans="1:13" ht="15.75" customHeight="1" x14ac:dyDescent="0.3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</row>
    <row r="553" spans="1:13" ht="15.75" customHeight="1" x14ac:dyDescent="0.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</row>
    <row r="554" spans="1:13" ht="15.75" customHeight="1" x14ac:dyDescent="0.3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</row>
    <row r="555" spans="1:13" ht="15.75" customHeight="1" x14ac:dyDescent="0.3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</row>
    <row r="556" spans="1:13" ht="15.75" customHeight="1" x14ac:dyDescent="0.3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</row>
    <row r="557" spans="1:13" ht="15.75" customHeight="1" x14ac:dyDescent="0.3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</row>
    <row r="558" spans="1:13" ht="15.75" customHeight="1" x14ac:dyDescent="0.3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</row>
    <row r="559" spans="1:13" ht="15.75" customHeight="1" x14ac:dyDescent="0.3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</row>
    <row r="560" spans="1:13" ht="15.75" customHeight="1" x14ac:dyDescent="0.3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</row>
    <row r="561" spans="1:13" ht="15.75" customHeight="1" x14ac:dyDescent="0.3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</row>
    <row r="562" spans="1:13" ht="15.75" customHeight="1" x14ac:dyDescent="0.3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</row>
    <row r="563" spans="1:13" ht="15.75" customHeight="1" x14ac:dyDescent="0.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</row>
    <row r="564" spans="1:13" ht="15.75" customHeight="1" x14ac:dyDescent="0.3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</row>
    <row r="565" spans="1:13" ht="15.75" customHeight="1" x14ac:dyDescent="0.3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</row>
    <row r="566" spans="1:13" ht="15.75" customHeight="1" x14ac:dyDescent="0.3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</row>
    <row r="567" spans="1:13" ht="15.75" customHeight="1" x14ac:dyDescent="0.3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</row>
    <row r="568" spans="1:13" ht="15.75" customHeight="1" x14ac:dyDescent="0.3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</row>
    <row r="569" spans="1:13" ht="15.75" customHeight="1" x14ac:dyDescent="0.3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</row>
    <row r="570" spans="1:13" ht="15.75" customHeight="1" x14ac:dyDescent="0.3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</row>
    <row r="571" spans="1:13" ht="15.75" customHeight="1" x14ac:dyDescent="0.3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</row>
    <row r="572" spans="1:13" ht="15.75" customHeight="1" x14ac:dyDescent="0.3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</row>
    <row r="573" spans="1:13" ht="15.75" customHeight="1" x14ac:dyDescent="0.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</row>
    <row r="574" spans="1:13" ht="15.75" customHeight="1" x14ac:dyDescent="0.3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</row>
    <row r="575" spans="1:13" ht="15.75" customHeight="1" x14ac:dyDescent="0.3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</row>
    <row r="576" spans="1:13" ht="15.75" customHeight="1" x14ac:dyDescent="0.3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</row>
    <row r="577" spans="1:13" ht="15.75" customHeight="1" x14ac:dyDescent="0.3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</row>
    <row r="578" spans="1:13" ht="15.75" customHeight="1" x14ac:dyDescent="0.3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</row>
    <row r="579" spans="1:13" ht="15.75" customHeight="1" x14ac:dyDescent="0.3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</row>
    <row r="580" spans="1:13" ht="15.75" customHeight="1" x14ac:dyDescent="0.3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</row>
    <row r="581" spans="1:13" ht="15.75" customHeight="1" x14ac:dyDescent="0.3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</row>
    <row r="582" spans="1:13" ht="15.75" customHeight="1" x14ac:dyDescent="0.3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</row>
    <row r="583" spans="1:13" ht="15.75" customHeight="1" x14ac:dyDescent="0.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</row>
    <row r="584" spans="1:13" ht="15.75" customHeight="1" x14ac:dyDescent="0.3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</row>
    <row r="585" spans="1:13" ht="15.75" customHeight="1" x14ac:dyDescent="0.3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</row>
    <row r="586" spans="1:13" ht="15.75" customHeight="1" x14ac:dyDescent="0.3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</row>
    <row r="587" spans="1:13" ht="15.75" customHeight="1" x14ac:dyDescent="0.3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</row>
    <row r="588" spans="1:13" ht="15.75" customHeight="1" x14ac:dyDescent="0.3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</row>
    <row r="589" spans="1:13" ht="15.75" customHeight="1" x14ac:dyDescent="0.3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</row>
    <row r="590" spans="1:13" ht="15.75" customHeight="1" x14ac:dyDescent="0.3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</row>
    <row r="591" spans="1:13" ht="15.75" customHeight="1" x14ac:dyDescent="0.3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</row>
    <row r="592" spans="1:13" ht="15.75" customHeight="1" x14ac:dyDescent="0.3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</row>
    <row r="593" spans="1:13" ht="15.75" customHeight="1" x14ac:dyDescent="0.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</row>
    <row r="594" spans="1:13" ht="15.75" customHeight="1" x14ac:dyDescent="0.3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</row>
    <row r="595" spans="1:13" ht="15.75" customHeight="1" x14ac:dyDescent="0.3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</row>
    <row r="596" spans="1:13" ht="15.75" customHeight="1" x14ac:dyDescent="0.3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</row>
    <row r="597" spans="1:13" ht="15.75" customHeight="1" x14ac:dyDescent="0.3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</row>
    <row r="598" spans="1:13" ht="15.75" customHeight="1" x14ac:dyDescent="0.3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</row>
    <row r="599" spans="1:13" ht="15.75" customHeight="1" x14ac:dyDescent="0.3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</row>
    <row r="600" spans="1:13" ht="15.75" customHeight="1" x14ac:dyDescent="0.3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</row>
    <row r="601" spans="1:13" ht="15.75" customHeight="1" x14ac:dyDescent="0.3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</row>
    <row r="602" spans="1:13" ht="15.75" customHeight="1" x14ac:dyDescent="0.3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</row>
    <row r="603" spans="1:13" ht="15.75" customHeight="1" x14ac:dyDescent="0.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</row>
    <row r="604" spans="1:13" ht="15.75" customHeight="1" x14ac:dyDescent="0.3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</row>
    <row r="605" spans="1:13" ht="15.75" customHeight="1" x14ac:dyDescent="0.3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</row>
    <row r="606" spans="1:13" ht="15.75" customHeight="1" x14ac:dyDescent="0.3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</row>
    <row r="607" spans="1:13" ht="15.75" customHeight="1" x14ac:dyDescent="0.3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</row>
    <row r="608" spans="1:13" ht="15.75" customHeight="1" x14ac:dyDescent="0.3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</row>
    <row r="609" spans="1:13" ht="15.75" customHeight="1" x14ac:dyDescent="0.3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</row>
    <row r="610" spans="1:13" ht="15.75" customHeight="1" x14ac:dyDescent="0.3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</row>
    <row r="611" spans="1:13" ht="15.75" customHeight="1" x14ac:dyDescent="0.3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</row>
    <row r="612" spans="1:13" ht="15.75" customHeight="1" x14ac:dyDescent="0.3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</row>
    <row r="613" spans="1:13" ht="15.75" customHeight="1" x14ac:dyDescent="0.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</row>
    <row r="614" spans="1:13" ht="15.75" customHeight="1" x14ac:dyDescent="0.3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</row>
    <row r="615" spans="1:13" ht="15.75" customHeight="1" x14ac:dyDescent="0.3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</row>
    <row r="616" spans="1:13" ht="15.75" customHeight="1" x14ac:dyDescent="0.3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</row>
    <row r="617" spans="1:13" ht="15.75" customHeight="1" x14ac:dyDescent="0.3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</row>
    <row r="618" spans="1:13" ht="15.75" customHeight="1" x14ac:dyDescent="0.3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</row>
    <row r="619" spans="1:13" ht="15.75" customHeight="1" x14ac:dyDescent="0.3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</row>
    <row r="620" spans="1:13" ht="15.75" customHeight="1" x14ac:dyDescent="0.3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</row>
    <row r="621" spans="1:13" ht="15.75" customHeight="1" x14ac:dyDescent="0.3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</row>
    <row r="622" spans="1:13" ht="15.75" customHeight="1" x14ac:dyDescent="0.3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</row>
    <row r="623" spans="1:13" ht="15.75" customHeight="1" x14ac:dyDescent="0.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</row>
    <row r="624" spans="1:13" ht="15.75" customHeight="1" x14ac:dyDescent="0.3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</row>
    <row r="625" spans="1:13" ht="15.75" customHeight="1" x14ac:dyDescent="0.3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</row>
    <row r="626" spans="1:13" ht="15.75" customHeight="1" x14ac:dyDescent="0.3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</row>
    <row r="627" spans="1:13" ht="15.75" customHeight="1" x14ac:dyDescent="0.3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</row>
    <row r="628" spans="1:13" ht="15.75" customHeight="1" x14ac:dyDescent="0.3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</row>
    <row r="629" spans="1:13" ht="15.75" customHeight="1" x14ac:dyDescent="0.3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</row>
    <row r="630" spans="1:13" ht="15.75" customHeight="1" x14ac:dyDescent="0.3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</row>
    <row r="631" spans="1:13" ht="15.75" customHeight="1" x14ac:dyDescent="0.3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</row>
    <row r="632" spans="1:13" ht="15.75" customHeight="1" x14ac:dyDescent="0.3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</row>
    <row r="633" spans="1:13" ht="15.75" customHeight="1" x14ac:dyDescent="0.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</row>
    <row r="634" spans="1:13" ht="15.75" customHeight="1" x14ac:dyDescent="0.3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</row>
    <row r="635" spans="1:13" ht="15.75" customHeight="1" x14ac:dyDescent="0.3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</row>
    <row r="636" spans="1:13" ht="15.75" customHeight="1" x14ac:dyDescent="0.3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</row>
    <row r="637" spans="1:13" ht="15.75" customHeight="1" x14ac:dyDescent="0.3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</row>
    <row r="638" spans="1:13" ht="15.75" customHeight="1" x14ac:dyDescent="0.3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</row>
    <row r="639" spans="1:13" ht="15.75" customHeight="1" x14ac:dyDescent="0.3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</row>
    <row r="640" spans="1:13" ht="15.75" customHeight="1" x14ac:dyDescent="0.3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</row>
    <row r="641" spans="1:13" ht="15.75" customHeight="1" x14ac:dyDescent="0.3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</row>
    <row r="642" spans="1:13" ht="15.75" customHeight="1" x14ac:dyDescent="0.3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</row>
    <row r="643" spans="1:13" ht="15.75" customHeight="1" x14ac:dyDescent="0.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</row>
    <row r="644" spans="1:13" ht="15.75" customHeight="1" x14ac:dyDescent="0.3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</row>
    <row r="645" spans="1:13" ht="15.75" customHeight="1" x14ac:dyDescent="0.3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</row>
    <row r="646" spans="1:13" ht="15.75" customHeight="1" x14ac:dyDescent="0.3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</row>
    <row r="647" spans="1:13" ht="15.75" customHeight="1" x14ac:dyDescent="0.3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</row>
    <row r="648" spans="1:13" ht="15.75" customHeight="1" x14ac:dyDescent="0.3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</row>
    <row r="649" spans="1:13" ht="15.75" customHeight="1" x14ac:dyDescent="0.3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</row>
    <row r="650" spans="1:13" ht="15.75" customHeight="1" x14ac:dyDescent="0.3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</row>
    <row r="651" spans="1:13" ht="15.75" customHeight="1" x14ac:dyDescent="0.3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</row>
    <row r="652" spans="1:13" ht="15.75" customHeight="1" x14ac:dyDescent="0.3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</row>
    <row r="653" spans="1:13" ht="15.75" customHeight="1" x14ac:dyDescent="0.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</row>
    <row r="654" spans="1:13" ht="15.75" customHeight="1" x14ac:dyDescent="0.3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</row>
    <row r="655" spans="1:13" ht="15.75" customHeight="1" x14ac:dyDescent="0.3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</row>
    <row r="656" spans="1:13" ht="15.75" customHeight="1" x14ac:dyDescent="0.3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</row>
    <row r="657" spans="1:13" ht="15.75" customHeight="1" x14ac:dyDescent="0.3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</row>
    <row r="658" spans="1:13" ht="15.75" customHeight="1" x14ac:dyDescent="0.3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</row>
    <row r="659" spans="1:13" ht="15.75" customHeight="1" x14ac:dyDescent="0.3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</row>
    <row r="660" spans="1:13" ht="15.75" customHeight="1" x14ac:dyDescent="0.3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</row>
    <row r="661" spans="1:13" ht="15.75" customHeight="1" x14ac:dyDescent="0.3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</row>
    <row r="662" spans="1:13" ht="15.75" customHeight="1" x14ac:dyDescent="0.3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</row>
    <row r="663" spans="1:13" ht="15.75" customHeight="1" x14ac:dyDescent="0.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</row>
    <row r="664" spans="1:13" ht="15.75" customHeight="1" x14ac:dyDescent="0.3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</row>
    <row r="665" spans="1:13" ht="15.75" customHeight="1" x14ac:dyDescent="0.3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</row>
    <row r="666" spans="1:13" ht="15.75" customHeight="1" x14ac:dyDescent="0.3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</row>
    <row r="667" spans="1:13" ht="15.75" customHeight="1" x14ac:dyDescent="0.3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</row>
    <row r="668" spans="1:13" ht="15.75" customHeight="1" x14ac:dyDescent="0.3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</row>
    <row r="669" spans="1:13" ht="15.75" customHeight="1" x14ac:dyDescent="0.3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</row>
    <row r="670" spans="1:13" ht="15.75" customHeight="1" x14ac:dyDescent="0.3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</row>
    <row r="671" spans="1:13" ht="15.75" customHeight="1" x14ac:dyDescent="0.3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</row>
    <row r="672" spans="1:13" ht="15.75" customHeight="1" x14ac:dyDescent="0.3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</row>
    <row r="673" spans="1:13" ht="15.75" customHeight="1" x14ac:dyDescent="0.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</row>
    <row r="674" spans="1:13" ht="15.75" customHeight="1" x14ac:dyDescent="0.3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</row>
    <row r="675" spans="1:13" ht="15.75" customHeight="1" x14ac:dyDescent="0.3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</row>
    <row r="676" spans="1:13" ht="15.75" customHeight="1" x14ac:dyDescent="0.3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</row>
    <row r="677" spans="1:13" ht="15.75" customHeight="1" x14ac:dyDescent="0.3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</row>
    <row r="678" spans="1:13" ht="15.75" customHeight="1" x14ac:dyDescent="0.3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</row>
    <row r="679" spans="1:13" ht="15.75" customHeight="1" x14ac:dyDescent="0.3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</row>
    <row r="680" spans="1:13" ht="15.75" customHeight="1" x14ac:dyDescent="0.3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</row>
    <row r="681" spans="1:13" ht="15.75" customHeight="1" x14ac:dyDescent="0.3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</row>
    <row r="682" spans="1:13" ht="15.75" customHeight="1" x14ac:dyDescent="0.3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</row>
    <row r="683" spans="1:13" ht="15.75" customHeight="1" x14ac:dyDescent="0.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</row>
    <row r="684" spans="1:13" ht="15.75" customHeight="1" x14ac:dyDescent="0.3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</row>
    <row r="685" spans="1:13" ht="15.75" customHeight="1" x14ac:dyDescent="0.3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</row>
    <row r="686" spans="1:13" ht="15.75" customHeight="1" x14ac:dyDescent="0.3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</row>
    <row r="687" spans="1:13" ht="15.75" customHeight="1" x14ac:dyDescent="0.3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</row>
    <row r="688" spans="1:13" ht="15.75" customHeight="1" x14ac:dyDescent="0.3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</row>
    <row r="689" spans="1:13" ht="15.75" customHeight="1" x14ac:dyDescent="0.3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</row>
    <row r="690" spans="1:13" ht="15.75" customHeight="1" x14ac:dyDescent="0.3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</row>
    <row r="691" spans="1:13" ht="15.75" customHeight="1" x14ac:dyDescent="0.3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</row>
    <row r="692" spans="1:13" ht="15.75" customHeight="1" x14ac:dyDescent="0.3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</row>
    <row r="693" spans="1:13" ht="15.75" customHeight="1" x14ac:dyDescent="0.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</row>
    <row r="694" spans="1:13" ht="15.75" customHeight="1" x14ac:dyDescent="0.3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</row>
    <row r="695" spans="1:13" ht="15.75" customHeight="1" x14ac:dyDescent="0.3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</row>
    <row r="696" spans="1:13" ht="15.75" customHeight="1" x14ac:dyDescent="0.3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</row>
    <row r="697" spans="1:13" ht="15.75" customHeight="1" x14ac:dyDescent="0.3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</row>
    <row r="698" spans="1:13" ht="15.75" customHeight="1" x14ac:dyDescent="0.3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</row>
    <row r="699" spans="1:13" ht="15.75" customHeight="1" x14ac:dyDescent="0.3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</row>
    <row r="700" spans="1:13" ht="15.75" customHeight="1" x14ac:dyDescent="0.3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</row>
    <row r="701" spans="1:13" ht="15.75" customHeight="1" x14ac:dyDescent="0.3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</row>
    <row r="702" spans="1:13" ht="15.75" customHeight="1" x14ac:dyDescent="0.3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</row>
    <row r="703" spans="1:13" ht="15.75" customHeight="1" x14ac:dyDescent="0.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</row>
    <row r="704" spans="1:13" ht="15.75" customHeight="1" x14ac:dyDescent="0.3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</row>
    <row r="705" spans="1:13" ht="15.75" customHeight="1" x14ac:dyDescent="0.3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</row>
    <row r="706" spans="1:13" ht="15.75" customHeight="1" x14ac:dyDescent="0.3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</row>
    <row r="707" spans="1:13" ht="15.75" customHeight="1" x14ac:dyDescent="0.3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</row>
    <row r="708" spans="1:13" ht="15.75" customHeight="1" x14ac:dyDescent="0.3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</row>
    <row r="709" spans="1:13" ht="15.75" customHeight="1" x14ac:dyDescent="0.3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</row>
    <row r="710" spans="1:13" ht="15.75" customHeight="1" x14ac:dyDescent="0.3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</row>
    <row r="711" spans="1:13" ht="15.75" customHeight="1" x14ac:dyDescent="0.3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</row>
    <row r="712" spans="1:13" ht="15.75" customHeight="1" x14ac:dyDescent="0.3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</row>
    <row r="713" spans="1:13" ht="15.75" customHeight="1" x14ac:dyDescent="0.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</row>
    <row r="714" spans="1:13" ht="15.75" customHeight="1" x14ac:dyDescent="0.3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</row>
    <row r="715" spans="1:13" ht="15.75" customHeight="1" x14ac:dyDescent="0.3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</row>
    <row r="716" spans="1:13" ht="15.75" customHeight="1" x14ac:dyDescent="0.3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</row>
    <row r="717" spans="1:13" ht="15.75" customHeight="1" x14ac:dyDescent="0.3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</row>
    <row r="718" spans="1:13" ht="15.75" customHeight="1" x14ac:dyDescent="0.3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</row>
    <row r="719" spans="1:13" ht="15.75" customHeight="1" x14ac:dyDescent="0.3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</row>
    <row r="720" spans="1:13" ht="15.75" customHeight="1" x14ac:dyDescent="0.3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</row>
    <row r="721" spans="1:13" ht="15.75" customHeight="1" x14ac:dyDescent="0.3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</row>
    <row r="722" spans="1:13" ht="15.75" customHeight="1" x14ac:dyDescent="0.3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</row>
    <row r="723" spans="1:13" ht="15.75" customHeight="1" x14ac:dyDescent="0.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</row>
    <row r="724" spans="1:13" ht="15.75" customHeight="1" x14ac:dyDescent="0.3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</row>
    <row r="725" spans="1:13" ht="15.75" customHeight="1" x14ac:dyDescent="0.3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</row>
    <row r="726" spans="1:13" ht="15.75" customHeight="1" x14ac:dyDescent="0.3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</row>
    <row r="727" spans="1:13" ht="15.75" customHeight="1" x14ac:dyDescent="0.3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</row>
    <row r="728" spans="1:13" ht="15.75" customHeight="1" x14ac:dyDescent="0.3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</row>
    <row r="729" spans="1:13" ht="15.75" customHeight="1" x14ac:dyDescent="0.3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</row>
    <row r="730" spans="1:13" ht="15.75" customHeight="1" x14ac:dyDescent="0.3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</row>
    <row r="731" spans="1:13" ht="15.75" customHeight="1" x14ac:dyDescent="0.3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</row>
    <row r="732" spans="1:13" ht="15.75" customHeight="1" x14ac:dyDescent="0.3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</row>
    <row r="733" spans="1:13" ht="15.75" customHeight="1" x14ac:dyDescent="0.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</row>
    <row r="734" spans="1:13" ht="15.75" customHeight="1" x14ac:dyDescent="0.3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</row>
    <row r="735" spans="1:13" ht="15.75" customHeight="1" x14ac:dyDescent="0.3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</row>
    <row r="736" spans="1:13" ht="15.75" customHeight="1" x14ac:dyDescent="0.3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</row>
    <row r="737" spans="1:13" ht="15.75" customHeight="1" x14ac:dyDescent="0.3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</row>
    <row r="738" spans="1:13" ht="15.75" customHeight="1" x14ac:dyDescent="0.3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</row>
    <row r="739" spans="1:13" ht="15.75" customHeight="1" x14ac:dyDescent="0.3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</row>
    <row r="740" spans="1:13" ht="15.75" customHeight="1" x14ac:dyDescent="0.3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</row>
    <row r="741" spans="1:13" ht="15.75" customHeight="1" x14ac:dyDescent="0.3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</row>
    <row r="742" spans="1:13" ht="15.75" customHeight="1" x14ac:dyDescent="0.3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</row>
    <row r="743" spans="1:13" ht="15.75" customHeight="1" x14ac:dyDescent="0.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</row>
    <row r="744" spans="1:13" ht="15.75" customHeight="1" x14ac:dyDescent="0.3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</row>
    <row r="745" spans="1:13" ht="15.75" customHeight="1" x14ac:dyDescent="0.3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</row>
    <row r="746" spans="1:13" ht="15.75" customHeight="1" x14ac:dyDescent="0.3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</row>
    <row r="747" spans="1:13" ht="15.75" customHeight="1" x14ac:dyDescent="0.3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</row>
    <row r="748" spans="1:13" ht="15.75" customHeight="1" x14ac:dyDescent="0.3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</row>
    <row r="749" spans="1:13" ht="15.75" customHeight="1" x14ac:dyDescent="0.3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</row>
    <row r="750" spans="1:13" ht="15.75" customHeight="1" x14ac:dyDescent="0.3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</row>
    <row r="751" spans="1:13" ht="15.75" customHeight="1" x14ac:dyDescent="0.3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</row>
    <row r="752" spans="1:13" ht="15.75" customHeight="1" x14ac:dyDescent="0.3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</row>
    <row r="753" spans="1:13" ht="15.75" customHeight="1" x14ac:dyDescent="0.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</row>
    <row r="754" spans="1:13" ht="15.75" customHeight="1" x14ac:dyDescent="0.3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</row>
    <row r="755" spans="1:13" ht="15.75" customHeight="1" x14ac:dyDescent="0.3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</row>
    <row r="756" spans="1:13" ht="15.75" customHeight="1" x14ac:dyDescent="0.3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</row>
    <row r="757" spans="1:13" ht="15.75" customHeight="1" x14ac:dyDescent="0.3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</row>
    <row r="758" spans="1:13" ht="15.75" customHeight="1" x14ac:dyDescent="0.3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</row>
    <row r="759" spans="1:13" ht="15.75" customHeight="1" x14ac:dyDescent="0.3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</row>
    <row r="760" spans="1:13" ht="15.75" customHeight="1" x14ac:dyDescent="0.3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</row>
    <row r="761" spans="1:13" ht="15.75" customHeight="1" x14ac:dyDescent="0.3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</row>
    <row r="762" spans="1:13" ht="15.75" customHeight="1" x14ac:dyDescent="0.3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</row>
    <row r="763" spans="1:13" ht="15.75" customHeight="1" x14ac:dyDescent="0.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</row>
    <row r="764" spans="1:13" ht="15.75" customHeight="1" x14ac:dyDescent="0.3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</row>
    <row r="765" spans="1:13" ht="15.75" customHeight="1" x14ac:dyDescent="0.3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</row>
    <row r="766" spans="1:13" ht="15.75" customHeight="1" x14ac:dyDescent="0.3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</row>
    <row r="767" spans="1:13" ht="15.75" customHeight="1" x14ac:dyDescent="0.3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</row>
    <row r="768" spans="1:13" ht="15.75" customHeight="1" x14ac:dyDescent="0.3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</row>
    <row r="769" spans="1:13" ht="15.75" customHeight="1" x14ac:dyDescent="0.3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</row>
    <row r="770" spans="1:13" ht="15.75" customHeight="1" x14ac:dyDescent="0.3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</row>
    <row r="771" spans="1:13" ht="15.75" customHeight="1" x14ac:dyDescent="0.3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</row>
    <row r="772" spans="1:13" ht="15.75" customHeight="1" x14ac:dyDescent="0.3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</row>
    <row r="773" spans="1:13" ht="15.75" customHeight="1" x14ac:dyDescent="0.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</row>
    <row r="774" spans="1:13" ht="15.75" customHeight="1" x14ac:dyDescent="0.3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</row>
    <row r="775" spans="1:13" ht="15.75" customHeight="1" x14ac:dyDescent="0.3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</row>
    <row r="776" spans="1:13" ht="15.75" customHeight="1" x14ac:dyDescent="0.3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</row>
    <row r="777" spans="1:13" ht="15.75" customHeight="1" x14ac:dyDescent="0.3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</row>
    <row r="778" spans="1:13" ht="15.75" customHeight="1" x14ac:dyDescent="0.3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</row>
    <row r="779" spans="1:13" ht="15.75" customHeight="1" x14ac:dyDescent="0.3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</row>
    <row r="780" spans="1:13" ht="15.75" customHeight="1" x14ac:dyDescent="0.3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</row>
    <row r="781" spans="1:13" ht="15.75" customHeight="1" x14ac:dyDescent="0.3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</row>
    <row r="782" spans="1:13" ht="15.75" customHeight="1" x14ac:dyDescent="0.3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</row>
    <row r="783" spans="1:13" ht="15.75" customHeight="1" x14ac:dyDescent="0.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</row>
    <row r="784" spans="1:13" ht="15.75" customHeight="1" x14ac:dyDescent="0.3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</row>
    <row r="785" spans="1:13" ht="15.75" customHeight="1" x14ac:dyDescent="0.3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</row>
    <row r="786" spans="1:13" ht="15.75" customHeight="1" x14ac:dyDescent="0.3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</row>
    <row r="787" spans="1:13" ht="15.75" customHeight="1" x14ac:dyDescent="0.3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</row>
    <row r="788" spans="1:13" ht="15.75" customHeight="1" x14ac:dyDescent="0.3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</row>
    <row r="789" spans="1:13" ht="15.75" customHeight="1" x14ac:dyDescent="0.3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</row>
    <row r="790" spans="1:13" ht="15.75" customHeight="1" x14ac:dyDescent="0.3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</row>
    <row r="791" spans="1:13" ht="15.75" customHeight="1" x14ac:dyDescent="0.3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</row>
    <row r="792" spans="1:13" ht="15.75" customHeight="1" x14ac:dyDescent="0.3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</row>
    <row r="793" spans="1:13" ht="15.75" customHeight="1" x14ac:dyDescent="0.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</row>
    <row r="794" spans="1:13" ht="15.75" customHeight="1" x14ac:dyDescent="0.3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</row>
    <row r="795" spans="1:13" ht="15.75" customHeight="1" x14ac:dyDescent="0.3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</row>
    <row r="796" spans="1:13" ht="15.75" customHeight="1" x14ac:dyDescent="0.3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</row>
    <row r="797" spans="1:13" ht="15.75" customHeight="1" x14ac:dyDescent="0.3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</row>
    <row r="798" spans="1:13" ht="15.75" customHeight="1" x14ac:dyDescent="0.3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</row>
    <row r="799" spans="1:13" ht="15.75" customHeight="1" x14ac:dyDescent="0.3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</row>
    <row r="800" spans="1:13" ht="15.75" customHeight="1" x14ac:dyDescent="0.3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</row>
    <row r="801" spans="1:13" ht="15.75" customHeight="1" x14ac:dyDescent="0.3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</row>
    <row r="802" spans="1:13" ht="15.75" customHeight="1" x14ac:dyDescent="0.3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</row>
    <row r="803" spans="1:13" ht="15.75" customHeight="1" x14ac:dyDescent="0.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</row>
    <row r="804" spans="1:13" ht="15.75" customHeight="1" x14ac:dyDescent="0.3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</row>
    <row r="805" spans="1:13" ht="15.75" customHeight="1" x14ac:dyDescent="0.3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</row>
    <row r="806" spans="1:13" ht="15.75" customHeight="1" x14ac:dyDescent="0.3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</row>
    <row r="807" spans="1:13" ht="15.75" customHeight="1" x14ac:dyDescent="0.3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</row>
    <row r="808" spans="1:13" ht="15.75" customHeight="1" x14ac:dyDescent="0.3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</row>
    <row r="809" spans="1:13" ht="15.75" customHeight="1" x14ac:dyDescent="0.3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</row>
    <row r="810" spans="1:13" ht="15.75" customHeight="1" x14ac:dyDescent="0.3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</row>
    <row r="811" spans="1:13" ht="15.75" customHeight="1" x14ac:dyDescent="0.3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</row>
    <row r="812" spans="1:13" ht="15.75" customHeight="1" x14ac:dyDescent="0.3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</row>
    <row r="813" spans="1:13" ht="15.75" customHeight="1" x14ac:dyDescent="0.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</row>
    <row r="814" spans="1:13" ht="15.75" customHeight="1" x14ac:dyDescent="0.3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</row>
    <row r="815" spans="1:13" ht="15.75" customHeight="1" x14ac:dyDescent="0.3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</row>
    <row r="816" spans="1:13" ht="15.75" customHeight="1" x14ac:dyDescent="0.3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</row>
    <row r="817" spans="1:13" ht="15.75" customHeight="1" x14ac:dyDescent="0.3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</row>
    <row r="818" spans="1:13" ht="15.75" customHeight="1" x14ac:dyDescent="0.3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</row>
    <row r="819" spans="1:13" ht="15.75" customHeight="1" x14ac:dyDescent="0.3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</row>
    <row r="820" spans="1:13" ht="15.75" customHeight="1" x14ac:dyDescent="0.3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</row>
    <row r="821" spans="1:13" ht="15.75" customHeight="1" x14ac:dyDescent="0.3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</row>
    <row r="822" spans="1:13" ht="15.75" customHeight="1" x14ac:dyDescent="0.3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</row>
    <row r="823" spans="1:13" ht="15.75" customHeight="1" x14ac:dyDescent="0.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</row>
    <row r="824" spans="1:13" ht="15.75" customHeight="1" x14ac:dyDescent="0.3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</row>
    <row r="825" spans="1:13" ht="15.75" customHeight="1" x14ac:dyDescent="0.3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</row>
    <row r="826" spans="1:13" ht="15.75" customHeight="1" x14ac:dyDescent="0.3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</row>
    <row r="827" spans="1:13" ht="15.75" customHeight="1" x14ac:dyDescent="0.3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</row>
    <row r="828" spans="1:13" ht="15.75" customHeight="1" x14ac:dyDescent="0.3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</row>
    <row r="829" spans="1:13" ht="15.75" customHeight="1" x14ac:dyDescent="0.3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</row>
    <row r="830" spans="1:13" ht="15.75" customHeight="1" x14ac:dyDescent="0.3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</row>
    <row r="831" spans="1:13" ht="15.75" customHeight="1" x14ac:dyDescent="0.3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</row>
    <row r="832" spans="1:13" ht="15.75" customHeight="1" x14ac:dyDescent="0.3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</row>
    <row r="833" spans="1:13" ht="15.75" customHeight="1" x14ac:dyDescent="0.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</row>
    <row r="834" spans="1:13" ht="15.75" customHeight="1" x14ac:dyDescent="0.3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</row>
    <row r="835" spans="1:13" ht="15.75" customHeight="1" x14ac:dyDescent="0.3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</row>
    <row r="836" spans="1:13" ht="15.75" customHeight="1" x14ac:dyDescent="0.3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</row>
    <row r="837" spans="1:13" ht="15.75" customHeight="1" x14ac:dyDescent="0.3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</row>
    <row r="838" spans="1:13" ht="15.75" customHeight="1" x14ac:dyDescent="0.3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</row>
    <row r="839" spans="1:13" ht="15.75" customHeight="1" x14ac:dyDescent="0.3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</row>
    <row r="840" spans="1:13" ht="15.75" customHeight="1" x14ac:dyDescent="0.3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</row>
    <row r="841" spans="1:13" ht="15.75" customHeight="1" x14ac:dyDescent="0.3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</row>
    <row r="842" spans="1:13" ht="15.75" customHeight="1" x14ac:dyDescent="0.3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</row>
    <row r="843" spans="1:13" ht="15.75" customHeight="1" x14ac:dyDescent="0.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</row>
    <row r="844" spans="1:13" ht="15.75" customHeight="1" x14ac:dyDescent="0.3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</row>
    <row r="845" spans="1:13" ht="15.75" customHeight="1" x14ac:dyDescent="0.3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</row>
    <row r="846" spans="1:13" ht="15.75" customHeight="1" x14ac:dyDescent="0.3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</row>
    <row r="847" spans="1:13" ht="15.75" customHeight="1" x14ac:dyDescent="0.3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</row>
    <row r="848" spans="1:13" ht="15.75" customHeight="1" x14ac:dyDescent="0.3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</row>
    <row r="849" spans="1:13" ht="15.75" customHeight="1" x14ac:dyDescent="0.3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</row>
    <row r="850" spans="1:13" ht="15.75" customHeight="1" x14ac:dyDescent="0.3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</row>
    <row r="851" spans="1:13" ht="15.75" customHeight="1" x14ac:dyDescent="0.3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</row>
    <row r="852" spans="1:13" ht="15.75" customHeight="1" x14ac:dyDescent="0.3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</row>
    <row r="853" spans="1:13" ht="15.75" customHeight="1" x14ac:dyDescent="0.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</row>
    <row r="854" spans="1:13" ht="15.75" customHeight="1" x14ac:dyDescent="0.3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</row>
    <row r="855" spans="1:13" ht="15.75" customHeight="1" x14ac:dyDescent="0.3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</row>
    <row r="856" spans="1:13" ht="15.75" customHeight="1" x14ac:dyDescent="0.3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</row>
    <row r="857" spans="1:13" ht="15.75" customHeight="1" x14ac:dyDescent="0.3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</row>
    <row r="858" spans="1:13" ht="15.75" customHeight="1" x14ac:dyDescent="0.3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</row>
    <row r="859" spans="1:13" ht="15.75" customHeight="1" x14ac:dyDescent="0.3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</row>
    <row r="860" spans="1:13" ht="15.75" customHeight="1" x14ac:dyDescent="0.3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</row>
    <row r="861" spans="1:13" ht="15.75" customHeight="1" x14ac:dyDescent="0.3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</row>
    <row r="862" spans="1:13" ht="15.75" customHeight="1" x14ac:dyDescent="0.3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</row>
    <row r="863" spans="1:13" ht="15.75" customHeight="1" x14ac:dyDescent="0.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</row>
    <row r="864" spans="1:13" ht="15.75" customHeight="1" x14ac:dyDescent="0.3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</row>
    <row r="865" spans="1:13" ht="15.75" customHeight="1" x14ac:dyDescent="0.3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</row>
    <row r="866" spans="1:13" ht="15.75" customHeight="1" x14ac:dyDescent="0.3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</row>
    <row r="867" spans="1:13" ht="15.75" customHeight="1" x14ac:dyDescent="0.3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</row>
    <row r="868" spans="1:13" ht="15.75" customHeight="1" x14ac:dyDescent="0.3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</row>
    <row r="869" spans="1:13" ht="15.75" customHeight="1" x14ac:dyDescent="0.3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</row>
    <row r="870" spans="1:13" ht="15.75" customHeight="1" x14ac:dyDescent="0.3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</row>
    <row r="871" spans="1:13" ht="15.75" customHeight="1" x14ac:dyDescent="0.3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</row>
    <row r="872" spans="1:13" ht="15.75" customHeight="1" x14ac:dyDescent="0.3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</row>
    <row r="873" spans="1:13" ht="15.75" customHeight="1" x14ac:dyDescent="0.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</row>
    <row r="874" spans="1:13" ht="15.75" customHeight="1" x14ac:dyDescent="0.3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</row>
    <row r="875" spans="1:13" ht="15.75" customHeight="1" x14ac:dyDescent="0.3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</row>
    <row r="876" spans="1:13" ht="15.75" customHeight="1" x14ac:dyDescent="0.3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</row>
    <row r="877" spans="1:13" ht="15.75" customHeight="1" x14ac:dyDescent="0.3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</row>
    <row r="878" spans="1:13" ht="15.75" customHeight="1" x14ac:dyDescent="0.3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</row>
    <row r="879" spans="1:13" ht="15.75" customHeight="1" x14ac:dyDescent="0.3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</row>
    <row r="880" spans="1:13" ht="15.75" customHeight="1" x14ac:dyDescent="0.3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</row>
    <row r="881" spans="1:13" ht="15.75" customHeight="1" x14ac:dyDescent="0.3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</row>
    <row r="882" spans="1:13" ht="15.75" customHeight="1" x14ac:dyDescent="0.3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</row>
    <row r="883" spans="1:13" ht="15.75" customHeight="1" x14ac:dyDescent="0.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</row>
    <row r="884" spans="1:13" ht="15.75" customHeight="1" x14ac:dyDescent="0.3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</row>
    <row r="885" spans="1:13" ht="15.75" customHeight="1" x14ac:dyDescent="0.3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</row>
    <row r="886" spans="1:13" ht="15.75" customHeight="1" x14ac:dyDescent="0.3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</row>
    <row r="887" spans="1:13" ht="15.75" customHeight="1" x14ac:dyDescent="0.3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</row>
    <row r="888" spans="1:13" ht="15.75" customHeight="1" x14ac:dyDescent="0.3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</row>
    <row r="889" spans="1:13" ht="15.75" customHeight="1" x14ac:dyDescent="0.3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</row>
    <row r="890" spans="1:13" ht="15.75" customHeight="1" x14ac:dyDescent="0.3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</row>
    <row r="891" spans="1:13" ht="15.75" customHeight="1" x14ac:dyDescent="0.3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</row>
    <row r="892" spans="1:13" ht="15.75" customHeight="1" x14ac:dyDescent="0.3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</row>
    <row r="893" spans="1:13" ht="15.75" customHeight="1" x14ac:dyDescent="0.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</row>
    <row r="894" spans="1:13" ht="15.75" customHeight="1" x14ac:dyDescent="0.3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</row>
    <row r="895" spans="1:13" ht="15.75" customHeight="1" x14ac:dyDescent="0.3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</row>
    <row r="896" spans="1:13" ht="15.75" customHeight="1" x14ac:dyDescent="0.3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</row>
    <row r="897" spans="1:13" ht="15.75" customHeight="1" x14ac:dyDescent="0.3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</row>
    <row r="898" spans="1:13" ht="15.75" customHeight="1" x14ac:dyDescent="0.3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</row>
    <row r="899" spans="1:13" ht="15.75" customHeight="1" x14ac:dyDescent="0.3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</row>
    <row r="900" spans="1:13" ht="15.75" customHeight="1" x14ac:dyDescent="0.3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</row>
    <row r="901" spans="1:13" ht="15.75" customHeight="1" x14ac:dyDescent="0.3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</row>
    <row r="902" spans="1:13" ht="15.75" customHeight="1" x14ac:dyDescent="0.3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</row>
    <row r="903" spans="1:13" ht="15.75" customHeight="1" x14ac:dyDescent="0.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</row>
    <row r="904" spans="1:13" ht="15.75" customHeight="1" x14ac:dyDescent="0.3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</row>
    <row r="905" spans="1:13" ht="15.75" customHeight="1" x14ac:dyDescent="0.3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</row>
    <row r="906" spans="1:13" ht="15.75" customHeight="1" x14ac:dyDescent="0.3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</row>
    <row r="907" spans="1:13" ht="15.75" customHeight="1" x14ac:dyDescent="0.3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</row>
    <row r="908" spans="1:13" ht="15.75" customHeight="1" x14ac:dyDescent="0.3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</row>
    <row r="909" spans="1:13" ht="15.75" customHeight="1" x14ac:dyDescent="0.3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</row>
    <row r="910" spans="1:13" ht="15.75" customHeight="1" x14ac:dyDescent="0.3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</row>
    <row r="911" spans="1:13" ht="15.75" customHeight="1" x14ac:dyDescent="0.3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</row>
    <row r="912" spans="1:13" ht="15.75" customHeight="1" x14ac:dyDescent="0.3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</row>
    <row r="913" spans="1:13" ht="15.75" customHeight="1" x14ac:dyDescent="0.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</row>
    <row r="914" spans="1:13" ht="15.75" customHeight="1" x14ac:dyDescent="0.3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</row>
    <row r="915" spans="1:13" ht="15.75" customHeight="1" x14ac:dyDescent="0.3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</row>
    <row r="916" spans="1:13" ht="15.75" customHeight="1" x14ac:dyDescent="0.3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</row>
    <row r="917" spans="1:13" ht="15.75" customHeight="1" x14ac:dyDescent="0.3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</row>
    <row r="918" spans="1:13" ht="15.75" customHeight="1" x14ac:dyDescent="0.3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</row>
    <row r="919" spans="1:13" ht="15.75" customHeight="1" x14ac:dyDescent="0.3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</row>
    <row r="920" spans="1:13" ht="15.75" customHeight="1" x14ac:dyDescent="0.3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</row>
    <row r="921" spans="1:13" ht="15.75" customHeight="1" x14ac:dyDescent="0.3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</row>
    <row r="922" spans="1:13" ht="15.75" customHeight="1" x14ac:dyDescent="0.3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</row>
    <row r="923" spans="1:13" ht="15.75" customHeight="1" x14ac:dyDescent="0.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</row>
    <row r="924" spans="1:13" ht="15.75" customHeight="1" x14ac:dyDescent="0.3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</row>
    <row r="925" spans="1:13" ht="15.75" customHeight="1" x14ac:dyDescent="0.3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</row>
    <row r="926" spans="1:13" ht="15.75" customHeight="1" x14ac:dyDescent="0.3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</row>
    <row r="927" spans="1:13" ht="15.75" customHeight="1" x14ac:dyDescent="0.3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</row>
    <row r="928" spans="1:13" ht="15.75" customHeight="1" x14ac:dyDescent="0.3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</row>
    <row r="929" spans="1:13" ht="15.75" customHeight="1" x14ac:dyDescent="0.3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</row>
    <row r="930" spans="1:13" ht="15.75" customHeight="1" x14ac:dyDescent="0.3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</row>
    <row r="931" spans="1:13" ht="15.75" customHeight="1" x14ac:dyDescent="0.3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</row>
    <row r="932" spans="1:13" ht="15.75" customHeight="1" x14ac:dyDescent="0.3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</row>
    <row r="933" spans="1:13" ht="15.75" customHeight="1" x14ac:dyDescent="0.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</row>
    <row r="934" spans="1:13" ht="15.75" customHeight="1" x14ac:dyDescent="0.3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</row>
    <row r="935" spans="1:13" ht="15.75" customHeight="1" x14ac:dyDescent="0.3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</row>
    <row r="936" spans="1:13" ht="15.75" customHeight="1" x14ac:dyDescent="0.3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</row>
    <row r="937" spans="1:13" ht="15.75" customHeight="1" x14ac:dyDescent="0.3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</row>
    <row r="938" spans="1:13" ht="15.75" customHeight="1" x14ac:dyDescent="0.3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</row>
    <row r="939" spans="1:13" ht="15.75" customHeight="1" x14ac:dyDescent="0.3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</row>
    <row r="940" spans="1:13" ht="15.75" customHeight="1" x14ac:dyDescent="0.3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</row>
    <row r="941" spans="1:13" ht="15.75" customHeight="1" x14ac:dyDescent="0.3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</row>
    <row r="942" spans="1:13" ht="15.75" customHeight="1" x14ac:dyDescent="0.3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</row>
    <row r="943" spans="1:13" ht="15.75" customHeight="1" x14ac:dyDescent="0.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</row>
    <row r="944" spans="1:13" ht="15.75" customHeight="1" x14ac:dyDescent="0.3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</row>
    <row r="945" spans="1:13" ht="15.75" customHeight="1" x14ac:dyDescent="0.3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</row>
    <row r="946" spans="1:13" ht="15.75" customHeight="1" x14ac:dyDescent="0.3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</row>
    <row r="947" spans="1:13" ht="15.75" customHeight="1" x14ac:dyDescent="0.3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</row>
    <row r="948" spans="1:13" ht="15.75" customHeight="1" x14ac:dyDescent="0.3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</row>
    <row r="949" spans="1:13" ht="15.75" customHeight="1" x14ac:dyDescent="0.3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</row>
    <row r="950" spans="1:13" ht="15.75" customHeight="1" x14ac:dyDescent="0.3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</row>
    <row r="951" spans="1:13" ht="15.75" customHeight="1" x14ac:dyDescent="0.3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</row>
    <row r="952" spans="1:13" ht="15.75" customHeight="1" x14ac:dyDescent="0.3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</row>
    <row r="953" spans="1:13" ht="15.75" customHeight="1" x14ac:dyDescent="0.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</row>
    <row r="954" spans="1:13" ht="15.75" customHeight="1" x14ac:dyDescent="0.3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</row>
    <row r="955" spans="1:13" ht="15.75" customHeight="1" x14ac:dyDescent="0.3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</row>
    <row r="956" spans="1:13" ht="15.75" customHeight="1" x14ac:dyDescent="0.3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</row>
    <row r="957" spans="1:13" ht="15.75" customHeight="1" x14ac:dyDescent="0.3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</row>
    <row r="958" spans="1:13" ht="15.75" customHeight="1" x14ac:dyDescent="0.3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</row>
    <row r="959" spans="1:13" ht="15.75" customHeight="1" x14ac:dyDescent="0.3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</row>
    <row r="960" spans="1:13" ht="15.75" customHeight="1" x14ac:dyDescent="0.3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</row>
    <row r="961" spans="1:13" ht="15.75" customHeight="1" x14ac:dyDescent="0.3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</row>
    <row r="962" spans="1:13" ht="15.75" customHeight="1" x14ac:dyDescent="0.3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</row>
    <row r="963" spans="1:13" ht="15.75" customHeight="1" x14ac:dyDescent="0.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</row>
    <row r="964" spans="1:13" ht="15.75" customHeight="1" x14ac:dyDescent="0.3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</row>
    <row r="965" spans="1:13" ht="15.75" customHeight="1" x14ac:dyDescent="0.3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</row>
    <row r="966" spans="1:13" ht="15.75" customHeight="1" x14ac:dyDescent="0.3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</row>
    <row r="967" spans="1:13" ht="15.75" customHeight="1" x14ac:dyDescent="0.3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</row>
    <row r="968" spans="1:13" ht="15.75" customHeight="1" x14ac:dyDescent="0.3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</row>
    <row r="969" spans="1:13" ht="15.75" customHeight="1" x14ac:dyDescent="0.3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</row>
    <row r="970" spans="1:13" ht="15.75" customHeight="1" x14ac:dyDescent="0.3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</row>
    <row r="971" spans="1:13" ht="15.75" customHeight="1" x14ac:dyDescent="0.3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</row>
    <row r="972" spans="1:13" ht="15.75" customHeight="1" x14ac:dyDescent="0.3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</row>
    <row r="973" spans="1:13" ht="15.75" customHeight="1" x14ac:dyDescent="0.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</row>
    <row r="974" spans="1:13" ht="15.75" customHeight="1" x14ac:dyDescent="0.3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</row>
    <row r="975" spans="1:13" ht="15.75" customHeight="1" x14ac:dyDescent="0.3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</row>
    <row r="976" spans="1:13" ht="15.75" customHeight="1" x14ac:dyDescent="0.3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</row>
    <row r="977" spans="1:13" ht="15.75" customHeight="1" x14ac:dyDescent="0.3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</row>
    <row r="978" spans="1:13" ht="15.75" customHeight="1" x14ac:dyDescent="0.3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</row>
    <row r="979" spans="1:13" ht="15.75" customHeight="1" x14ac:dyDescent="0.3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</row>
    <row r="980" spans="1:13" ht="15.75" customHeight="1" x14ac:dyDescent="0.3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</row>
    <row r="981" spans="1:13" ht="15.75" customHeight="1" x14ac:dyDescent="0.3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</row>
    <row r="982" spans="1:13" ht="15.75" customHeight="1" x14ac:dyDescent="0.3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</row>
    <row r="983" spans="1:13" ht="15.75" customHeight="1" x14ac:dyDescent="0.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</row>
    <row r="984" spans="1:13" ht="15.75" customHeight="1" x14ac:dyDescent="0.3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</row>
    <row r="985" spans="1:13" ht="15.75" customHeight="1" x14ac:dyDescent="0.3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</row>
    <row r="986" spans="1:13" ht="15.75" customHeight="1" x14ac:dyDescent="0.3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</row>
    <row r="987" spans="1:13" ht="15.75" customHeight="1" x14ac:dyDescent="0.3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</row>
    <row r="988" spans="1:13" ht="15.75" customHeight="1" x14ac:dyDescent="0.3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</row>
    <row r="989" spans="1:13" ht="15.75" customHeight="1" x14ac:dyDescent="0.3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</row>
    <row r="990" spans="1:13" ht="15.75" customHeight="1" x14ac:dyDescent="0.3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</row>
    <row r="991" spans="1:13" ht="15.75" customHeight="1" x14ac:dyDescent="0.3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</row>
    <row r="992" spans="1:13" ht="15.75" customHeight="1" x14ac:dyDescent="0.3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</row>
    <row r="993" spans="1:13" ht="15.75" customHeight="1" x14ac:dyDescent="0.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</row>
    <row r="994" spans="1:13" ht="15.75" customHeight="1" x14ac:dyDescent="0.3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</row>
    <row r="995" spans="1:13" ht="15.75" customHeight="1" x14ac:dyDescent="0.3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</row>
    <row r="996" spans="1:13" ht="15.75" customHeight="1" x14ac:dyDescent="0.3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</row>
    <row r="997" spans="1:13" ht="15.75" customHeight="1" x14ac:dyDescent="0.3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</row>
    <row r="998" spans="1:13" ht="15.75" customHeight="1" x14ac:dyDescent="0.3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</row>
    <row r="999" spans="1:13" ht="15.75" customHeight="1" x14ac:dyDescent="0.3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</row>
    <row r="1000" spans="1:13" ht="15.75" customHeight="1" x14ac:dyDescent="0.3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</row>
  </sheetData>
  <autoFilter ref="A1:M188" xr:uid="{00000000-0009-0000-0000-000001000000}">
    <filterColumn colId="3" showButton="0"/>
    <filterColumn colId="4" showButton="0"/>
    <filterColumn colId="7" showButton="0"/>
    <filterColumn colId="10" showButton="0"/>
  </autoFilter>
  <mergeCells count="3">
    <mergeCell ref="D1:F1"/>
    <mergeCell ref="K1:L1"/>
    <mergeCell ref="H1:I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topLeftCell="E1" workbookViewId="0"/>
  </sheetViews>
  <sheetFormatPr defaultColWidth="14.44140625" defaultRowHeight="15" customHeight="1" x14ac:dyDescent="0.3"/>
  <cols>
    <col min="1" max="1" width="6" customWidth="1"/>
    <col min="2" max="2" width="68.109375" customWidth="1"/>
    <col min="3" max="3" width="12.5546875" customWidth="1"/>
    <col min="4" max="4" width="18.109375" customWidth="1"/>
    <col min="5" max="5" width="20.44140625" customWidth="1"/>
    <col min="6" max="6" width="6.6640625" customWidth="1"/>
    <col min="7" max="7" width="29" customWidth="1"/>
    <col min="8" max="13" width="14" customWidth="1"/>
    <col min="14" max="26" width="8.6640625" customWidth="1"/>
  </cols>
  <sheetData>
    <row r="1" spans="1:13" ht="24.75" customHeight="1" x14ac:dyDescent="0.3">
      <c r="A1" s="50" t="s">
        <v>8</v>
      </c>
      <c r="B1" s="51" t="s">
        <v>0</v>
      </c>
      <c r="C1" s="52" t="s">
        <v>1</v>
      </c>
      <c r="D1" s="180" t="s">
        <v>2</v>
      </c>
      <c r="E1" s="176"/>
      <c r="F1" s="177"/>
      <c r="G1" s="87" t="s">
        <v>175</v>
      </c>
      <c r="H1" s="179" t="s">
        <v>4</v>
      </c>
      <c r="I1" s="177"/>
      <c r="J1" s="5" t="s">
        <v>5</v>
      </c>
      <c r="K1" s="178" t="s">
        <v>6</v>
      </c>
      <c r="L1" s="177"/>
      <c r="M1" s="6" t="s">
        <v>7</v>
      </c>
    </row>
    <row r="2" spans="1:13" ht="36" customHeight="1" x14ac:dyDescent="0.3">
      <c r="A2" s="7"/>
      <c r="B2" s="7"/>
      <c r="C2" s="7"/>
      <c r="D2" s="54" t="s">
        <v>9</v>
      </c>
      <c r="E2" s="55" t="s">
        <v>10</v>
      </c>
      <c r="F2" s="55" t="s">
        <v>11</v>
      </c>
      <c r="G2" s="88"/>
      <c r="H2" s="9" t="s">
        <v>12</v>
      </c>
      <c r="I2" s="9" t="s">
        <v>13</v>
      </c>
      <c r="J2" s="10" t="s">
        <v>14</v>
      </c>
      <c r="K2" s="11" t="s">
        <v>15</v>
      </c>
      <c r="L2" s="11" t="s">
        <v>319</v>
      </c>
      <c r="M2" s="12" t="s">
        <v>17</v>
      </c>
    </row>
    <row r="3" spans="1:13" ht="15.75" customHeight="1" x14ac:dyDescent="0.3">
      <c r="A3" s="89">
        <v>1</v>
      </c>
      <c r="B3" s="25" t="s">
        <v>87</v>
      </c>
      <c r="C3" s="24">
        <v>130</v>
      </c>
      <c r="D3" s="24">
        <v>5</v>
      </c>
      <c r="E3" s="24">
        <v>5</v>
      </c>
      <c r="F3" s="15">
        <v>5</v>
      </c>
      <c r="G3" s="25" t="s">
        <v>19</v>
      </c>
      <c r="H3" s="17">
        <v>0.48</v>
      </c>
      <c r="I3" s="17">
        <v>1.04</v>
      </c>
      <c r="J3" s="17">
        <v>10.210000000000001</v>
      </c>
      <c r="K3" s="18">
        <v>68.400000000000006</v>
      </c>
      <c r="L3" s="18">
        <v>17.100000000000001</v>
      </c>
      <c r="M3" s="18">
        <v>21</v>
      </c>
    </row>
    <row r="4" spans="1:13" ht="15.75" customHeight="1" x14ac:dyDescent="0.3">
      <c r="A4" s="89">
        <v>2</v>
      </c>
      <c r="B4" s="25" t="s">
        <v>60</v>
      </c>
      <c r="C4" s="15">
        <v>51</v>
      </c>
      <c r="D4" s="15">
        <v>3</v>
      </c>
      <c r="E4" s="15">
        <v>3</v>
      </c>
      <c r="F4" s="15">
        <v>5</v>
      </c>
      <c r="G4" s="25" t="s">
        <v>19</v>
      </c>
      <c r="H4" s="17">
        <v>2.4300000000000002</v>
      </c>
      <c r="I4" s="17">
        <v>4.75</v>
      </c>
      <c r="J4" s="17">
        <v>0</v>
      </c>
      <c r="K4" s="18">
        <v>67.400000000000006</v>
      </c>
      <c r="L4" s="18">
        <v>9.3000000000000007</v>
      </c>
      <c r="M4" s="18">
        <v>19</v>
      </c>
    </row>
    <row r="5" spans="1:13" ht="15.75" customHeight="1" x14ac:dyDescent="0.3">
      <c r="A5" s="89">
        <v>3</v>
      </c>
      <c r="B5" s="25" t="s">
        <v>89</v>
      </c>
      <c r="C5" s="15">
        <v>80</v>
      </c>
      <c r="D5" s="15">
        <v>3</v>
      </c>
      <c r="E5" s="15">
        <v>4</v>
      </c>
      <c r="F5" s="15">
        <v>5</v>
      </c>
      <c r="G5" s="25" t="s">
        <v>19</v>
      </c>
      <c r="H5" s="17">
        <v>1.61</v>
      </c>
      <c r="I5" s="17">
        <v>1.93</v>
      </c>
      <c r="J5" s="17">
        <v>7.91</v>
      </c>
      <c r="K5" s="18">
        <v>20</v>
      </c>
      <c r="L5" s="18">
        <v>22.9</v>
      </c>
      <c r="M5" s="18">
        <v>15</v>
      </c>
    </row>
    <row r="6" spans="1:13" ht="15.75" customHeight="1" x14ac:dyDescent="0.3">
      <c r="A6" s="89">
        <v>4</v>
      </c>
      <c r="B6" s="25" t="s">
        <v>275</v>
      </c>
      <c r="C6" s="15">
        <v>78</v>
      </c>
      <c r="D6" s="15">
        <v>5</v>
      </c>
      <c r="E6" s="15">
        <v>5</v>
      </c>
      <c r="F6" s="15">
        <v>5</v>
      </c>
      <c r="G6" s="25" t="s">
        <v>19</v>
      </c>
      <c r="H6" s="17">
        <v>1.52</v>
      </c>
      <c r="I6" s="17">
        <v>1.1299999999999999</v>
      </c>
      <c r="J6" s="17">
        <v>6.69</v>
      </c>
      <c r="K6" s="18">
        <v>67.599999999999994</v>
      </c>
      <c r="L6" s="18">
        <v>20.6</v>
      </c>
      <c r="M6" s="18">
        <v>22</v>
      </c>
    </row>
    <row r="7" spans="1:13" ht="15.75" customHeight="1" x14ac:dyDescent="0.3">
      <c r="A7" s="89">
        <v>5</v>
      </c>
      <c r="B7" s="25" t="s">
        <v>26</v>
      </c>
      <c r="C7" s="15">
        <v>69</v>
      </c>
      <c r="D7" s="15">
        <v>5</v>
      </c>
      <c r="E7" s="15">
        <v>5</v>
      </c>
      <c r="F7" s="15">
        <v>5</v>
      </c>
      <c r="G7" s="25" t="s">
        <v>19</v>
      </c>
      <c r="H7" s="17">
        <v>0.86</v>
      </c>
      <c r="I7" s="17">
        <v>0.44</v>
      </c>
      <c r="J7" s="17">
        <v>2.09</v>
      </c>
      <c r="K7" s="18">
        <v>83.3</v>
      </c>
      <c r="L7" s="18">
        <v>23.3</v>
      </c>
      <c r="M7" s="18">
        <v>13.5</v>
      </c>
    </row>
    <row r="8" spans="1:13" ht="15.75" customHeight="1" x14ac:dyDescent="0.3">
      <c r="A8" s="90">
        <v>6</v>
      </c>
      <c r="B8" s="20" t="s">
        <v>57</v>
      </c>
      <c r="C8" s="29">
        <v>99</v>
      </c>
      <c r="D8" s="29" t="s">
        <v>24</v>
      </c>
      <c r="E8" s="29" t="s">
        <v>24</v>
      </c>
      <c r="F8" s="21">
        <v>5</v>
      </c>
      <c r="G8" s="20" t="s">
        <v>25</v>
      </c>
      <c r="H8" s="22">
        <v>0.95</v>
      </c>
      <c r="I8" s="22">
        <v>0.85</v>
      </c>
      <c r="J8" s="22">
        <v>9.07</v>
      </c>
      <c r="K8" s="23">
        <v>84.4</v>
      </c>
      <c r="L8" s="23">
        <v>28.9</v>
      </c>
      <c r="M8" s="23">
        <v>28</v>
      </c>
    </row>
    <row r="9" spans="1:13" ht="15.75" customHeight="1" x14ac:dyDescent="0.3">
      <c r="A9" s="89">
        <v>7</v>
      </c>
      <c r="B9" s="25" t="s">
        <v>320</v>
      </c>
      <c r="C9" s="15">
        <v>62</v>
      </c>
      <c r="D9" s="15">
        <v>4</v>
      </c>
      <c r="E9" s="15">
        <v>4</v>
      </c>
      <c r="F9" s="15">
        <v>5</v>
      </c>
      <c r="G9" s="25" t="s">
        <v>19</v>
      </c>
      <c r="H9" s="17">
        <v>1.3</v>
      </c>
      <c r="I9" s="17">
        <v>1.92</v>
      </c>
      <c r="J9" s="17">
        <v>3.39</v>
      </c>
      <c r="K9" s="18">
        <v>63</v>
      </c>
      <c r="L9" s="18">
        <v>17.399999999999999</v>
      </c>
      <c r="M9" s="18">
        <v>16</v>
      </c>
    </row>
    <row r="10" spans="1:13" ht="15.75" customHeight="1" x14ac:dyDescent="0.3">
      <c r="A10" s="90">
        <v>8</v>
      </c>
      <c r="B10" s="20" t="s">
        <v>321</v>
      </c>
      <c r="C10" s="29">
        <v>36</v>
      </c>
      <c r="D10" s="29" t="s">
        <v>24</v>
      </c>
      <c r="E10" s="29" t="s">
        <v>24</v>
      </c>
      <c r="F10" s="21">
        <v>5</v>
      </c>
      <c r="G10" s="20" t="s">
        <v>25</v>
      </c>
      <c r="H10" s="22">
        <v>0.62</v>
      </c>
      <c r="I10" s="22">
        <v>0.2</v>
      </c>
      <c r="J10" s="22">
        <v>12.47</v>
      </c>
      <c r="K10" s="23">
        <v>66.7</v>
      </c>
      <c r="L10" s="23">
        <v>66.7</v>
      </c>
      <c r="M10" s="23">
        <v>24</v>
      </c>
    </row>
    <row r="11" spans="1:13" ht="15.75" customHeight="1" x14ac:dyDescent="0.3">
      <c r="A11" s="89">
        <v>9</v>
      </c>
      <c r="B11" s="25" t="s">
        <v>322</v>
      </c>
      <c r="C11" s="15">
        <v>150</v>
      </c>
      <c r="D11" s="15">
        <v>5</v>
      </c>
      <c r="E11" s="15">
        <v>5</v>
      </c>
      <c r="F11" s="15">
        <v>5</v>
      </c>
      <c r="G11" s="25" t="s">
        <v>19</v>
      </c>
      <c r="H11" s="17">
        <v>0.78</v>
      </c>
      <c r="I11" s="17">
        <v>0.88</v>
      </c>
      <c r="J11" s="17">
        <v>8.31</v>
      </c>
      <c r="K11" s="18">
        <v>69.2</v>
      </c>
      <c r="L11" s="18">
        <v>18.7</v>
      </c>
      <c r="M11" s="18">
        <v>22</v>
      </c>
    </row>
    <row r="12" spans="1:13" ht="15.75" customHeight="1" x14ac:dyDescent="0.3">
      <c r="A12" s="89">
        <v>10</v>
      </c>
      <c r="B12" s="25" t="s">
        <v>76</v>
      </c>
      <c r="C12" s="24">
        <v>87</v>
      </c>
      <c r="D12" s="24">
        <v>3</v>
      </c>
      <c r="E12" s="24">
        <v>3</v>
      </c>
      <c r="F12" s="15">
        <v>5</v>
      </c>
      <c r="G12" s="25" t="s">
        <v>19</v>
      </c>
      <c r="H12" s="17">
        <v>0.84</v>
      </c>
      <c r="I12" s="17">
        <v>0.61</v>
      </c>
      <c r="J12" s="17">
        <v>7.7</v>
      </c>
      <c r="K12" s="18">
        <v>90.2</v>
      </c>
      <c r="L12" s="18">
        <v>19.600000000000001</v>
      </c>
      <c r="M12" s="18">
        <v>21</v>
      </c>
    </row>
    <row r="13" spans="1:13" ht="15.75" customHeight="1" x14ac:dyDescent="0.3">
      <c r="A13" s="90">
        <v>11</v>
      </c>
      <c r="B13" s="91" t="s">
        <v>323</v>
      </c>
      <c r="C13" s="21">
        <v>120</v>
      </c>
      <c r="D13" s="29" t="s">
        <v>24</v>
      </c>
      <c r="E13" s="29" t="s">
        <v>24</v>
      </c>
      <c r="F13" s="21">
        <v>5</v>
      </c>
      <c r="G13" s="20" t="s">
        <v>25</v>
      </c>
      <c r="H13" s="22">
        <v>0.89</v>
      </c>
      <c r="I13" s="22">
        <v>0.62</v>
      </c>
      <c r="J13" s="22">
        <v>8.26</v>
      </c>
      <c r="K13" s="23">
        <v>98.2</v>
      </c>
      <c r="L13" s="23">
        <v>7</v>
      </c>
      <c r="M13" s="23">
        <v>15</v>
      </c>
    </row>
    <row r="14" spans="1:13" ht="15.75" customHeight="1" x14ac:dyDescent="0.3">
      <c r="A14" s="90">
        <v>12</v>
      </c>
      <c r="B14" s="20" t="s">
        <v>324</v>
      </c>
      <c r="C14" s="21">
        <v>134</v>
      </c>
      <c r="D14" s="29" t="s">
        <v>24</v>
      </c>
      <c r="E14" s="29" t="s">
        <v>24</v>
      </c>
      <c r="F14" s="21">
        <v>5</v>
      </c>
      <c r="G14" s="20" t="s">
        <v>25</v>
      </c>
      <c r="H14" s="22">
        <v>0.85</v>
      </c>
      <c r="I14" s="22">
        <v>0.83</v>
      </c>
      <c r="J14" s="22">
        <v>5.81</v>
      </c>
      <c r="K14" s="23">
        <v>29.9</v>
      </c>
      <c r="L14" s="23">
        <v>11.9</v>
      </c>
      <c r="M14" s="23">
        <v>13</v>
      </c>
    </row>
    <row r="15" spans="1:13" ht="15.75" customHeight="1" x14ac:dyDescent="0.3">
      <c r="A15" s="89">
        <v>13</v>
      </c>
      <c r="B15" s="25" t="s">
        <v>124</v>
      </c>
      <c r="C15" s="24">
        <v>75</v>
      </c>
      <c r="D15" s="24">
        <v>4</v>
      </c>
      <c r="E15" s="24">
        <v>5</v>
      </c>
      <c r="F15" s="15">
        <v>5</v>
      </c>
      <c r="G15" s="25" t="s">
        <v>19</v>
      </c>
      <c r="H15" s="17">
        <v>1.97</v>
      </c>
      <c r="I15" s="17">
        <v>1.37</v>
      </c>
      <c r="J15" s="17">
        <v>11.24</v>
      </c>
      <c r="K15" s="18">
        <v>66.7</v>
      </c>
      <c r="L15" s="18">
        <v>7.4</v>
      </c>
      <c r="M15" s="18">
        <v>21</v>
      </c>
    </row>
    <row r="16" spans="1:13" ht="15.75" customHeight="1" x14ac:dyDescent="0.3">
      <c r="A16" s="90">
        <v>14</v>
      </c>
      <c r="B16" s="20" t="s">
        <v>102</v>
      </c>
      <c r="C16" s="21">
        <v>141</v>
      </c>
      <c r="D16" s="29" t="s">
        <v>24</v>
      </c>
      <c r="E16" s="29" t="s">
        <v>24</v>
      </c>
      <c r="F16" s="21">
        <v>5</v>
      </c>
      <c r="G16" s="20" t="s">
        <v>25</v>
      </c>
      <c r="H16" s="22">
        <v>1.0900000000000001</v>
      </c>
      <c r="I16" s="22">
        <v>1.8</v>
      </c>
      <c r="J16" s="22">
        <v>6.64</v>
      </c>
      <c r="K16" s="23">
        <v>71.099999999999994</v>
      </c>
      <c r="L16" s="23">
        <v>28.9</v>
      </c>
      <c r="M16" s="23">
        <v>27</v>
      </c>
    </row>
    <row r="17" spans="1:13" ht="15.75" customHeight="1" x14ac:dyDescent="0.3">
      <c r="A17" s="89">
        <v>15</v>
      </c>
      <c r="B17" s="25" t="s">
        <v>325</v>
      </c>
      <c r="C17" s="24">
        <v>138</v>
      </c>
      <c r="D17" s="24">
        <v>4</v>
      </c>
      <c r="E17" s="24">
        <v>5</v>
      </c>
      <c r="F17" s="15">
        <v>5</v>
      </c>
      <c r="G17" s="25" t="s">
        <v>19</v>
      </c>
      <c r="H17" s="17">
        <v>0.83</v>
      </c>
      <c r="I17" s="17">
        <v>0.71</v>
      </c>
      <c r="J17" s="17">
        <v>5.34</v>
      </c>
      <c r="K17" s="18">
        <v>73.8</v>
      </c>
      <c r="L17" s="18">
        <v>20.2</v>
      </c>
      <c r="M17" s="18">
        <v>13</v>
      </c>
    </row>
    <row r="18" spans="1:13" ht="15.75" customHeight="1" x14ac:dyDescent="0.3">
      <c r="A18" s="89">
        <v>16</v>
      </c>
      <c r="B18" s="25" t="s">
        <v>79</v>
      </c>
      <c r="C18" s="24">
        <v>97</v>
      </c>
      <c r="D18" s="24">
        <v>5</v>
      </c>
      <c r="E18" s="24">
        <v>5</v>
      </c>
      <c r="F18" s="15">
        <v>4</v>
      </c>
      <c r="G18" s="25" t="s">
        <v>19</v>
      </c>
      <c r="H18" s="17">
        <v>0.94</v>
      </c>
      <c r="I18" s="17">
        <v>1.02</v>
      </c>
      <c r="J18" s="17">
        <v>11.52</v>
      </c>
      <c r="K18" s="18">
        <v>68.099999999999994</v>
      </c>
      <c r="L18" s="18">
        <v>5.8</v>
      </c>
      <c r="M18" s="18">
        <v>18</v>
      </c>
    </row>
    <row r="19" spans="1:13" ht="15.75" customHeight="1" x14ac:dyDescent="0.3">
      <c r="A19" s="89">
        <v>17</v>
      </c>
      <c r="B19" s="25" t="s">
        <v>210</v>
      </c>
      <c r="C19" s="15">
        <v>39</v>
      </c>
      <c r="D19" s="15">
        <v>5</v>
      </c>
      <c r="E19" s="15">
        <v>5</v>
      </c>
      <c r="F19" s="15">
        <v>4</v>
      </c>
      <c r="G19" s="25" t="s">
        <v>19</v>
      </c>
      <c r="H19" s="17">
        <v>2.57</v>
      </c>
      <c r="I19" s="17">
        <v>1</v>
      </c>
      <c r="J19" s="17">
        <v>0</v>
      </c>
      <c r="K19" s="18">
        <v>83.3</v>
      </c>
      <c r="L19" s="18">
        <v>22.2</v>
      </c>
      <c r="M19" s="18">
        <v>11</v>
      </c>
    </row>
    <row r="20" spans="1:13" ht="15.75" customHeight="1" x14ac:dyDescent="0.3">
      <c r="A20" s="89">
        <v>18</v>
      </c>
      <c r="B20" s="25" t="s">
        <v>35</v>
      </c>
      <c r="C20" s="15">
        <v>53</v>
      </c>
      <c r="D20" s="15">
        <v>4</v>
      </c>
      <c r="E20" s="15">
        <v>4</v>
      </c>
      <c r="F20" s="15">
        <v>4</v>
      </c>
      <c r="G20" s="25" t="s">
        <v>19</v>
      </c>
      <c r="H20" s="17">
        <v>0.9</v>
      </c>
      <c r="I20" s="17">
        <v>0.69</v>
      </c>
      <c r="J20" s="17">
        <v>17.82</v>
      </c>
      <c r="K20" s="18">
        <v>59.1</v>
      </c>
      <c r="L20" s="18">
        <v>13.6</v>
      </c>
      <c r="M20" s="18">
        <v>16</v>
      </c>
    </row>
    <row r="21" spans="1:13" ht="15.75" customHeight="1" x14ac:dyDescent="0.3">
      <c r="A21" s="90">
        <v>19</v>
      </c>
      <c r="B21" s="20" t="s">
        <v>112</v>
      </c>
      <c r="C21" s="21">
        <v>92</v>
      </c>
      <c r="D21" s="29" t="s">
        <v>24</v>
      </c>
      <c r="E21" s="29" t="s">
        <v>24</v>
      </c>
      <c r="F21" s="21">
        <v>4</v>
      </c>
      <c r="G21" s="20" t="s">
        <v>25</v>
      </c>
      <c r="H21" s="22">
        <v>1.9</v>
      </c>
      <c r="I21" s="22">
        <v>1.81</v>
      </c>
      <c r="J21" s="22">
        <v>8.35</v>
      </c>
      <c r="K21" s="23">
        <v>31.9</v>
      </c>
      <c r="L21" s="23">
        <v>12.8</v>
      </c>
      <c r="M21" s="23">
        <v>17</v>
      </c>
    </row>
    <row r="22" spans="1:13" ht="15.75" customHeight="1" x14ac:dyDescent="0.3">
      <c r="A22" s="89">
        <v>20</v>
      </c>
      <c r="B22" s="25" t="s">
        <v>21</v>
      </c>
      <c r="C22" s="15">
        <v>107</v>
      </c>
      <c r="D22" s="15">
        <v>3</v>
      </c>
      <c r="E22" s="15">
        <v>4</v>
      </c>
      <c r="F22" s="15">
        <v>4</v>
      </c>
      <c r="G22" s="25" t="s">
        <v>19</v>
      </c>
      <c r="H22" s="17">
        <v>2.04</v>
      </c>
      <c r="I22" s="17">
        <v>1.18</v>
      </c>
      <c r="J22" s="17">
        <v>9.32</v>
      </c>
      <c r="K22" s="18">
        <v>58.6</v>
      </c>
      <c r="L22" s="18">
        <v>5.2</v>
      </c>
      <c r="M22" s="18">
        <v>17</v>
      </c>
    </row>
    <row r="23" spans="1:13" ht="15.75" customHeight="1" x14ac:dyDescent="0.3">
      <c r="A23" s="89">
        <v>21</v>
      </c>
      <c r="B23" s="25" t="s">
        <v>82</v>
      </c>
      <c r="C23" s="15">
        <v>75</v>
      </c>
      <c r="D23" s="15">
        <v>5</v>
      </c>
      <c r="E23" s="15">
        <v>5</v>
      </c>
      <c r="F23" s="15">
        <v>4</v>
      </c>
      <c r="G23" s="25" t="s">
        <v>19</v>
      </c>
      <c r="H23" s="17">
        <v>0.77</v>
      </c>
      <c r="I23" s="17">
        <v>0.69</v>
      </c>
      <c r="J23" s="17">
        <v>4.7699999999999996</v>
      </c>
      <c r="K23" s="18">
        <v>90</v>
      </c>
      <c r="L23" s="18">
        <v>10</v>
      </c>
      <c r="M23" s="18">
        <v>17</v>
      </c>
    </row>
    <row r="24" spans="1:13" ht="15.75" customHeight="1" x14ac:dyDescent="0.3">
      <c r="A24" s="89">
        <v>22</v>
      </c>
      <c r="B24" s="25" t="s">
        <v>326</v>
      </c>
      <c r="C24" s="15">
        <v>35</v>
      </c>
      <c r="D24" s="15">
        <v>3</v>
      </c>
      <c r="E24" s="15">
        <v>2</v>
      </c>
      <c r="F24" s="15">
        <v>4</v>
      </c>
      <c r="G24" s="25" t="s">
        <v>19</v>
      </c>
      <c r="H24" s="17">
        <v>1.98</v>
      </c>
      <c r="I24" s="17">
        <v>1.01</v>
      </c>
      <c r="J24" s="17">
        <v>5.85</v>
      </c>
      <c r="K24" s="18">
        <v>70.400000000000006</v>
      </c>
      <c r="L24" s="18">
        <v>29.6</v>
      </c>
      <c r="M24" s="18">
        <v>19</v>
      </c>
    </row>
    <row r="25" spans="1:13" ht="15.75" customHeight="1" x14ac:dyDescent="0.3">
      <c r="A25" s="89">
        <v>23</v>
      </c>
      <c r="B25" s="25" t="s">
        <v>106</v>
      </c>
      <c r="C25" s="15">
        <v>40</v>
      </c>
      <c r="D25" s="15">
        <v>4</v>
      </c>
      <c r="E25" s="15">
        <v>3</v>
      </c>
      <c r="F25" s="15">
        <v>4</v>
      </c>
      <c r="G25" s="25" t="s">
        <v>19</v>
      </c>
      <c r="H25" s="17">
        <v>1.18</v>
      </c>
      <c r="I25" s="17">
        <v>0.84</v>
      </c>
      <c r="J25" s="17">
        <v>9.9700000000000006</v>
      </c>
      <c r="K25" s="18">
        <v>79.2</v>
      </c>
      <c r="L25" s="18">
        <v>12.5</v>
      </c>
      <c r="M25" s="18">
        <v>18</v>
      </c>
    </row>
    <row r="26" spans="1:13" ht="15.75" customHeight="1" x14ac:dyDescent="0.3">
      <c r="A26" s="89">
        <v>24</v>
      </c>
      <c r="B26" s="25" t="s">
        <v>327</v>
      </c>
      <c r="C26" s="15">
        <v>48</v>
      </c>
      <c r="D26" s="15">
        <v>4</v>
      </c>
      <c r="E26" s="15">
        <v>4</v>
      </c>
      <c r="F26" s="15">
        <v>4</v>
      </c>
      <c r="G26" s="25" t="s">
        <v>19</v>
      </c>
      <c r="H26" s="17">
        <v>1.75</v>
      </c>
      <c r="I26" s="17">
        <v>1.4</v>
      </c>
      <c r="J26" s="17">
        <v>8.6999999999999993</v>
      </c>
      <c r="K26" s="18">
        <v>70.599999999999994</v>
      </c>
      <c r="L26" s="18">
        <v>29.4</v>
      </c>
      <c r="M26" s="18">
        <v>13</v>
      </c>
    </row>
    <row r="27" spans="1:13" ht="15.75" customHeight="1" x14ac:dyDescent="0.3">
      <c r="A27" s="90">
        <v>25</v>
      </c>
      <c r="B27" s="20" t="s">
        <v>233</v>
      </c>
      <c r="C27" s="21">
        <v>57</v>
      </c>
      <c r="D27" s="29" t="s">
        <v>24</v>
      </c>
      <c r="E27" s="29" t="s">
        <v>24</v>
      </c>
      <c r="F27" s="21">
        <v>4</v>
      </c>
      <c r="G27" s="20" t="s">
        <v>25</v>
      </c>
      <c r="H27" s="22">
        <v>0.9</v>
      </c>
      <c r="I27" s="22">
        <v>0.65</v>
      </c>
      <c r="J27" s="22">
        <v>6.08</v>
      </c>
      <c r="K27" s="23">
        <v>79.2</v>
      </c>
      <c r="L27" s="23">
        <v>20.8</v>
      </c>
      <c r="M27" s="23">
        <v>26</v>
      </c>
    </row>
    <row r="28" spans="1:13" ht="15.75" customHeight="1" x14ac:dyDescent="0.3">
      <c r="A28" s="90">
        <v>26</v>
      </c>
      <c r="B28" s="20" t="s">
        <v>328</v>
      </c>
      <c r="C28" s="21">
        <v>35</v>
      </c>
      <c r="D28" s="29" t="s">
        <v>24</v>
      </c>
      <c r="E28" s="29" t="s">
        <v>24</v>
      </c>
      <c r="F28" s="21">
        <v>4</v>
      </c>
      <c r="G28" s="20" t="s">
        <v>25</v>
      </c>
      <c r="H28" s="22">
        <v>0.85</v>
      </c>
      <c r="I28" s="22">
        <v>0.82</v>
      </c>
      <c r="J28" s="22">
        <v>12.5</v>
      </c>
      <c r="K28" s="23">
        <v>84.6</v>
      </c>
      <c r="L28" s="23">
        <v>38.5</v>
      </c>
      <c r="M28" s="23">
        <v>18</v>
      </c>
    </row>
    <row r="29" spans="1:13" ht="15.75" customHeight="1" x14ac:dyDescent="0.3">
      <c r="A29" s="89">
        <v>27</v>
      </c>
      <c r="B29" s="25" t="s">
        <v>329</v>
      </c>
      <c r="C29" s="24">
        <v>93</v>
      </c>
      <c r="D29" s="24">
        <v>4</v>
      </c>
      <c r="E29" s="24">
        <v>4</v>
      </c>
      <c r="F29" s="15">
        <v>4</v>
      </c>
      <c r="G29" s="25" t="s">
        <v>19</v>
      </c>
      <c r="H29" s="17">
        <v>0.81</v>
      </c>
      <c r="I29" s="17">
        <v>0.73</v>
      </c>
      <c r="J29" s="17">
        <v>3.1</v>
      </c>
      <c r="K29" s="18">
        <v>52.2</v>
      </c>
      <c r="L29" s="18">
        <v>30.4</v>
      </c>
      <c r="M29" s="18">
        <v>18</v>
      </c>
    </row>
    <row r="30" spans="1:13" ht="15.75" customHeight="1" x14ac:dyDescent="0.3">
      <c r="A30" s="89">
        <v>28</v>
      </c>
      <c r="B30" s="25" t="s">
        <v>105</v>
      </c>
      <c r="C30" s="15">
        <v>127</v>
      </c>
      <c r="D30" s="15">
        <v>3</v>
      </c>
      <c r="E30" s="15">
        <v>3</v>
      </c>
      <c r="F30" s="15">
        <v>4</v>
      </c>
      <c r="G30" s="25" t="s">
        <v>19</v>
      </c>
      <c r="H30" s="17">
        <v>1.83</v>
      </c>
      <c r="I30" s="17">
        <v>2.41</v>
      </c>
      <c r="J30" s="17">
        <v>8.5299999999999994</v>
      </c>
      <c r="K30" s="18">
        <v>53</v>
      </c>
      <c r="L30" s="18">
        <v>3.6</v>
      </c>
      <c r="M30" s="18">
        <v>15</v>
      </c>
    </row>
    <row r="31" spans="1:13" ht="15.75" customHeight="1" x14ac:dyDescent="0.3">
      <c r="A31" s="89">
        <v>29</v>
      </c>
      <c r="B31" s="25" t="s">
        <v>54</v>
      </c>
      <c r="C31" s="15">
        <v>184</v>
      </c>
      <c r="D31" s="15">
        <v>5</v>
      </c>
      <c r="E31" s="15">
        <v>4</v>
      </c>
      <c r="F31" s="15">
        <v>4</v>
      </c>
      <c r="G31" s="25" t="s">
        <v>19</v>
      </c>
      <c r="H31" s="17">
        <v>2.9</v>
      </c>
      <c r="I31" s="17">
        <v>2.34</v>
      </c>
      <c r="J31" s="17">
        <v>31.75</v>
      </c>
      <c r="K31" s="18">
        <v>63.9</v>
      </c>
      <c r="L31" s="18">
        <v>5.6</v>
      </c>
      <c r="M31" s="18">
        <v>21.5</v>
      </c>
    </row>
    <row r="32" spans="1:13" ht="15.75" customHeight="1" x14ac:dyDescent="0.3">
      <c r="A32" s="89">
        <v>30</v>
      </c>
      <c r="B32" s="25" t="s">
        <v>330</v>
      </c>
      <c r="C32" s="15">
        <v>64</v>
      </c>
      <c r="D32" s="15">
        <v>3</v>
      </c>
      <c r="E32" s="15">
        <v>4</v>
      </c>
      <c r="F32" s="15">
        <v>4</v>
      </c>
      <c r="G32" s="25" t="s">
        <v>19</v>
      </c>
      <c r="H32" s="17">
        <v>1.1100000000000001</v>
      </c>
      <c r="I32" s="17">
        <v>1.42</v>
      </c>
      <c r="J32" s="17">
        <v>2.52</v>
      </c>
      <c r="K32" s="18">
        <v>77.099999999999994</v>
      </c>
      <c r="L32" s="18">
        <v>20</v>
      </c>
      <c r="M32" s="18">
        <v>15</v>
      </c>
    </row>
    <row r="33" spans="1:13" ht="15.75" customHeight="1" x14ac:dyDescent="0.3">
      <c r="A33" s="89">
        <v>31</v>
      </c>
      <c r="B33" s="25" t="s">
        <v>68</v>
      </c>
      <c r="C33" s="15">
        <v>146</v>
      </c>
      <c r="D33" s="15">
        <v>5</v>
      </c>
      <c r="E33" s="15">
        <v>5</v>
      </c>
      <c r="F33" s="15">
        <v>4</v>
      </c>
      <c r="G33" s="25" t="s">
        <v>19</v>
      </c>
      <c r="H33" s="17">
        <v>1.4</v>
      </c>
      <c r="I33" s="17">
        <v>1.06</v>
      </c>
      <c r="J33" s="17">
        <v>6.18</v>
      </c>
      <c r="K33" s="18">
        <v>55.1</v>
      </c>
      <c r="L33" s="18">
        <v>15.4</v>
      </c>
      <c r="M33" s="18">
        <v>18</v>
      </c>
    </row>
    <row r="34" spans="1:13" ht="15.75" customHeight="1" x14ac:dyDescent="0.3">
      <c r="A34" s="89">
        <v>32</v>
      </c>
      <c r="B34" s="25" t="s">
        <v>44</v>
      </c>
      <c r="C34" s="15">
        <v>247</v>
      </c>
      <c r="D34" s="15">
        <v>4</v>
      </c>
      <c r="E34" s="15">
        <v>5</v>
      </c>
      <c r="F34" s="15">
        <v>4</v>
      </c>
      <c r="G34" s="25" t="s">
        <v>19</v>
      </c>
      <c r="H34" s="17">
        <v>1.28</v>
      </c>
      <c r="I34" s="17">
        <v>1.61</v>
      </c>
      <c r="J34" s="17">
        <v>11.05</v>
      </c>
      <c r="K34" s="18">
        <v>43.1</v>
      </c>
      <c r="L34" s="18">
        <v>3.3</v>
      </c>
      <c r="M34" s="18">
        <v>12</v>
      </c>
    </row>
    <row r="35" spans="1:13" ht="15.75" customHeight="1" x14ac:dyDescent="0.3">
      <c r="A35" s="90">
        <v>33</v>
      </c>
      <c r="B35" s="20" t="s">
        <v>331</v>
      </c>
      <c r="C35" s="21">
        <v>32</v>
      </c>
      <c r="D35" s="29" t="s">
        <v>24</v>
      </c>
      <c r="E35" s="29" t="s">
        <v>24</v>
      </c>
      <c r="F35" s="21">
        <v>4</v>
      </c>
      <c r="G35" s="20" t="s">
        <v>25</v>
      </c>
      <c r="H35" s="22">
        <v>1.1399999999999999</v>
      </c>
      <c r="I35" s="22">
        <v>0.69</v>
      </c>
      <c r="J35" s="22">
        <v>3.55</v>
      </c>
      <c r="K35" s="23">
        <v>62.5</v>
      </c>
      <c r="L35" s="23">
        <v>6.2</v>
      </c>
      <c r="M35" s="23">
        <v>17</v>
      </c>
    </row>
    <row r="36" spans="1:13" ht="15.75" customHeight="1" x14ac:dyDescent="0.3">
      <c r="A36" s="89">
        <v>34</v>
      </c>
      <c r="B36" s="25" t="s">
        <v>58</v>
      </c>
      <c r="C36" s="15">
        <v>67</v>
      </c>
      <c r="D36" s="15">
        <v>3</v>
      </c>
      <c r="E36" s="15">
        <v>4</v>
      </c>
      <c r="F36" s="15">
        <v>4</v>
      </c>
      <c r="G36" s="25" t="s">
        <v>19</v>
      </c>
      <c r="H36" s="17">
        <v>0.99</v>
      </c>
      <c r="I36" s="17">
        <v>0.61</v>
      </c>
      <c r="J36" s="17">
        <v>11.35</v>
      </c>
      <c r="K36" s="18">
        <v>13.3</v>
      </c>
      <c r="L36" s="18">
        <v>13.3</v>
      </c>
      <c r="M36" s="18">
        <v>17</v>
      </c>
    </row>
    <row r="37" spans="1:13" ht="15.75" customHeight="1" x14ac:dyDescent="0.3">
      <c r="A37" s="89">
        <v>35</v>
      </c>
      <c r="B37" s="25" t="s">
        <v>42</v>
      </c>
      <c r="C37" s="15">
        <v>139</v>
      </c>
      <c r="D37" s="15">
        <v>5</v>
      </c>
      <c r="E37" s="15">
        <v>5</v>
      </c>
      <c r="F37" s="15">
        <v>4</v>
      </c>
      <c r="G37" s="25" t="s">
        <v>19</v>
      </c>
      <c r="H37" s="17">
        <v>0.84</v>
      </c>
      <c r="I37" s="17">
        <v>0.68</v>
      </c>
      <c r="J37" s="17">
        <v>10.15</v>
      </c>
      <c r="K37" s="18">
        <v>90.5</v>
      </c>
      <c r="L37" s="18">
        <v>29.7</v>
      </c>
      <c r="M37" s="18">
        <v>16</v>
      </c>
    </row>
    <row r="38" spans="1:13" ht="15.75" customHeight="1" x14ac:dyDescent="0.3">
      <c r="A38" s="89">
        <v>36</v>
      </c>
      <c r="B38" s="25" t="s">
        <v>110</v>
      </c>
      <c r="C38" s="15">
        <v>106</v>
      </c>
      <c r="D38" s="15">
        <v>5</v>
      </c>
      <c r="E38" s="15">
        <v>5</v>
      </c>
      <c r="F38" s="15">
        <v>4</v>
      </c>
      <c r="G38" s="25" t="s">
        <v>19</v>
      </c>
      <c r="H38" s="17">
        <v>2.31</v>
      </c>
      <c r="I38" s="17">
        <v>1.38</v>
      </c>
      <c r="J38" s="17">
        <v>2.2000000000000002</v>
      </c>
      <c r="K38" s="18">
        <v>65.900000000000006</v>
      </c>
      <c r="L38" s="18">
        <v>22</v>
      </c>
      <c r="M38" s="18">
        <v>15</v>
      </c>
    </row>
    <row r="39" spans="1:13" ht="15.75" customHeight="1" x14ac:dyDescent="0.3">
      <c r="A39" s="90">
        <v>37</v>
      </c>
      <c r="B39" s="20" t="s">
        <v>332</v>
      </c>
      <c r="C39" s="21">
        <v>27</v>
      </c>
      <c r="D39" s="29" t="s">
        <v>24</v>
      </c>
      <c r="E39" s="29" t="s">
        <v>24</v>
      </c>
      <c r="F39" s="21">
        <v>4</v>
      </c>
      <c r="G39" s="20" t="s">
        <v>25</v>
      </c>
      <c r="H39" s="22">
        <v>0.76</v>
      </c>
      <c r="I39" s="22">
        <v>0.79</v>
      </c>
      <c r="J39" s="22">
        <v>5.99</v>
      </c>
      <c r="K39" s="23">
        <v>83.3</v>
      </c>
      <c r="L39" s="23">
        <v>16.7</v>
      </c>
      <c r="M39" s="23">
        <v>9</v>
      </c>
    </row>
    <row r="40" spans="1:13" ht="15.75" customHeight="1" x14ac:dyDescent="0.3">
      <c r="A40" s="90">
        <v>38</v>
      </c>
      <c r="B40" s="20" t="s">
        <v>333</v>
      </c>
      <c r="C40" s="21">
        <v>6</v>
      </c>
      <c r="D40" s="29" t="s">
        <v>24</v>
      </c>
      <c r="E40" s="29" t="s">
        <v>24</v>
      </c>
      <c r="F40" s="21">
        <v>4</v>
      </c>
      <c r="G40" s="20" t="s">
        <v>25</v>
      </c>
      <c r="H40" s="22">
        <v>1.26</v>
      </c>
      <c r="I40" s="21"/>
      <c r="J40" s="22">
        <v>0</v>
      </c>
      <c r="K40" s="21"/>
      <c r="L40" s="21"/>
      <c r="M40" s="21"/>
    </row>
    <row r="41" spans="1:13" ht="15.75" customHeight="1" x14ac:dyDescent="0.3">
      <c r="A41" s="90">
        <v>39</v>
      </c>
      <c r="B41" s="20" t="s">
        <v>334</v>
      </c>
      <c r="C41" s="21">
        <v>21</v>
      </c>
      <c r="D41" s="29" t="s">
        <v>24</v>
      </c>
      <c r="E41" s="29" t="s">
        <v>24</v>
      </c>
      <c r="F41" s="21">
        <v>4</v>
      </c>
      <c r="G41" s="20" t="s">
        <v>25</v>
      </c>
      <c r="H41" s="22">
        <v>0.81</v>
      </c>
      <c r="I41" s="22">
        <v>0.69</v>
      </c>
      <c r="J41" s="22">
        <v>12.01</v>
      </c>
      <c r="K41" s="23">
        <v>72.7</v>
      </c>
      <c r="L41" s="23">
        <v>9.1</v>
      </c>
      <c r="M41" s="23">
        <v>17</v>
      </c>
    </row>
    <row r="42" spans="1:13" ht="15.75" customHeight="1" x14ac:dyDescent="0.3">
      <c r="A42" s="89">
        <v>40</v>
      </c>
      <c r="B42" s="25" t="s">
        <v>34</v>
      </c>
      <c r="C42" s="24">
        <v>34</v>
      </c>
      <c r="D42" s="24">
        <v>4</v>
      </c>
      <c r="E42" s="24">
        <v>5</v>
      </c>
      <c r="F42" s="15">
        <v>4</v>
      </c>
      <c r="G42" s="25" t="s">
        <v>19</v>
      </c>
      <c r="H42" s="17">
        <v>0.67</v>
      </c>
      <c r="I42" s="17">
        <v>0.51</v>
      </c>
      <c r="J42" s="17">
        <v>9.86</v>
      </c>
      <c r="K42" s="18">
        <v>39.299999999999997</v>
      </c>
      <c r="L42" s="18">
        <v>10.7</v>
      </c>
      <c r="M42" s="18">
        <v>18</v>
      </c>
    </row>
    <row r="43" spans="1:13" ht="15.75" customHeight="1" x14ac:dyDescent="0.3">
      <c r="A43" s="89">
        <v>41</v>
      </c>
      <c r="B43" s="25" t="s">
        <v>268</v>
      </c>
      <c r="C43" s="15">
        <v>91</v>
      </c>
      <c r="D43" s="15">
        <v>3</v>
      </c>
      <c r="E43" s="15">
        <v>3</v>
      </c>
      <c r="F43" s="15">
        <v>4</v>
      </c>
      <c r="G43" s="25" t="s">
        <v>19</v>
      </c>
      <c r="H43" s="17">
        <v>2.77</v>
      </c>
      <c r="I43" s="17">
        <v>1.1100000000000001</v>
      </c>
      <c r="J43" s="17">
        <v>0</v>
      </c>
      <c r="K43" s="18">
        <v>45.2</v>
      </c>
      <c r="L43" s="18">
        <v>32.299999999999997</v>
      </c>
      <c r="M43" s="18">
        <v>16</v>
      </c>
    </row>
    <row r="44" spans="1:13" ht="15.75" customHeight="1" x14ac:dyDescent="0.3">
      <c r="A44" s="89">
        <v>42</v>
      </c>
      <c r="B44" s="25" t="s">
        <v>335</v>
      </c>
      <c r="C44" s="15">
        <v>23</v>
      </c>
      <c r="D44" s="15">
        <v>3</v>
      </c>
      <c r="E44" s="15">
        <v>2</v>
      </c>
      <c r="F44" s="15">
        <v>4</v>
      </c>
      <c r="G44" s="25" t="s">
        <v>19</v>
      </c>
      <c r="H44" s="17">
        <v>1.77</v>
      </c>
      <c r="I44" s="17">
        <v>1.1100000000000001</v>
      </c>
      <c r="J44" s="17">
        <v>0</v>
      </c>
      <c r="K44" s="18">
        <v>57.1</v>
      </c>
      <c r="L44" s="18">
        <v>7.1</v>
      </c>
      <c r="M44" s="18">
        <v>14</v>
      </c>
    </row>
    <row r="45" spans="1:13" ht="15.75" customHeight="1" x14ac:dyDescent="0.3">
      <c r="A45" s="89">
        <v>43</v>
      </c>
      <c r="B45" s="25" t="s">
        <v>220</v>
      </c>
      <c r="C45" s="15">
        <v>31</v>
      </c>
      <c r="D45" s="15">
        <v>3</v>
      </c>
      <c r="E45" s="15">
        <v>4</v>
      </c>
      <c r="F45" s="15">
        <v>4</v>
      </c>
      <c r="G45" s="25" t="s">
        <v>19</v>
      </c>
      <c r="H45" s="17">
        <v>1.92</v>
      </c>
      <c r="I45" s="17">
        <v>1.32</v>
      </c>
      <c r="J45" s="17">
        <v>58.82</v>
      </c>
      <c r="K45" s="18">
        <v>84.6</v>
      </c>
      <c r="L45" s="18">
        <v>30.8</v>
      </c>
      <c r="M45" s="18">
        <v>14</v>
      </c>
    </row>
    <row r="46" spans="1:13" ht="15.75" customHeight="1" x14ac:dyDescent="0.3">
      <c r="A46" s="90">
        <v>44</v>
      </c>
      <c r="B46" s="20" t="s">
        <v>77</v>
      </c>
      <c r="C46" s="29">
        <v>62</v>
      </c>
      <c r="D46" s="29" t="s">
        <v>24</v>
      </c>
      <c r="E46" s="29" t="s">
        <v>24</v>
      </c>
      <c r="F46" s="21">
        <v>4</v>
      </c>
      <c r="G46" s="20" t="s">
        <v>25</v>
      </c>
      <c r="H46" s="22">
        <v>0.9</v>
      </c>
      <c r="I46" s="22">
        <v>0.56999999999999995</v>
      </c>
      <c r="J46" s="22">
        <v>8.85</v>
      </c>
      <c r="K46" s="23">
        <v>88.9</v>
      </c>
      <c r="L46" s="23">
        <v>22.2</v>
      </c>
      <c r="M46" s="23">
        <v>19.5</v>
      </c>
    </row>
    <row r="47" spans="1:13" ht="15.75" customHeight="1" x14ac:dyDescent="0.3">
      <c r="A47" s="89">
        <v>45</v>
      </c>
      <c r="B47" s="25" t="s">
        <v>336</v>
      </c>
      <c r="C47" s="24">
        <v>154</v>
      </c>
      <c r="D47" s="24">
        <v>4</v>
      </c>
      <c r="E47" s="24">
        <v>4</v>
      </c>
      <c r="F47" s="15">
        <v>4</v>
      </c>
      <c r="G47" s="25" t="s">
        <v>19</v>
      </c>
      <c r="H47" s="17">
        <v>1.59</v>
      </c>
      <c r="I47" s="17">
        <v>1.0900000000000001</v>
      </c>
      <c r="J47" s="17">
        <v>5.81</v>
      </c>
      <c r="K47" s="18">
        <v>66.099999999999994</v>
      </c>
      <c r="L47" s="18">
        <v>10.7</v>
      </c>
      <c r="M47" s="18">
        <v>15</v>
      </c>
    </row>
    <row r="48" spans="1:13" ht="15.75" customHeight="1" x14ac:dyDescent="0.3">
      <c r="A48" s="89">
        <v>46</v>
      </c>
      <c r="B48" s="25" t="s">
        <v>337</v>
      </c>
      <c r="C48" s="15">
        <v>78</v>
      </c>
      <c r="D48" s="15">
        <v>3</v>
      </c>
      <c r="E48" s="15">
        <v>4</v>
      </c>
      <c r="F48" s="15">
        <v>4</v>
      </c>
      <c r="G48" s="25" t="s">
        <v>19</v>
      </c>
      <c r="H48" s="17">
        <v>1.69</v>
      </c>
      <c r="I48" s="17">
        <v>1.69</v>
      </c>
      <c r="J48" s="17">
        <v>4.28</v>
      </c>
      <c r="K48" s="18">
        <v>52.2</v>
      </c>
      <c r="L48" s="18">
        <v>6.5</v>
      </c>
      <c r="M48" s="18">
        <v>19</v>
      </c>
    </row>
    <row r="49" spans="1:13" ht="15.75" customHeight="1" x14ac:dyDescent="0.3">
      <c r="A49" s="90">
        <v>47</v>
      </c>
      <c r="B49" s="20" t="s">
        <v>91</v>
      </c>
      <c r="C49" s="21">
        <v>30</v>
      </c>
      <c r="D49" s="29" t="s">
        <v>24</v>
      </c>
      <c r="E49" s="29" t="s">
        <v>24</v>
      </c>
      <c r="F49" s="21">
        <v>3</v>
      </c>
      <c r="G49" s="20" t="s">
        <v>25</v>
      </c>
      <c r="H49" s="22">
        <v>1.57</v>
      </c>
      <c r="I49" s="22">
        <v>0.93</v>
      </c>
      <c r="J49" s="22">
        <v>4.63</v>
      </c>
      <c r="K49" s="23">
        <v>89.5</v>
      </c>
      <c r="L49" s="23">
        <v>15.8</v>
      </c>
      <c r="M49" s="23">
        <v>14</v>
      </c>
    </row>
    <row r="50" spans="1:13" ht="15.75" customHeight="1" x14ac:dyDescent="0.3">
      <c r="A50" s="90">
        <v>48</v>
      </c>
      <c r="B50" s="20" t="s">
        <v>338</v>
      </c>
      <c r="C50" s="21">
        <v>38</v>
      </c>
      <c r="D50" s="29" t="s">
        <v>24</v>
      </c>
      <c r="E50" s="29" t="s">
        <v>24</v>
      </c>
      <c r="F50" s="21">
        <v>3</v>
      </c>
      <c r="G50" s="20" t="s">
        <v>25</v>
      </c>
      <c r="H50" s="22">
        <v>1.32</v>
      </c>
      <c r="I50" s="22">
        <v>0.56000000000000005</v>
      </c>
      <c r="J50" s="22">
        <v>22.56</v>
      </c>
      <c r="K50" s="23">
        <v>100</v>
      </c>
      <c r="L50" s="23">
        <v>0</v>
      </c>
      <c r="M50" s="23">
        <v>16.5</v>
      </c>
    </row>
    <row r="51" spans="1:13" ht="15.75" customHeight="1" x14ac:dyDescent="0.3">
      <c r="A51" s="89">
        <v>49</v>
      </c>
      <c r="B51" s="25" t="s">
        <v>33</v>
      </c>
      <c r="C51" s="24">
        <v>79</v>
      </c>
      <c r="D51" s="24">
        <v>5</v>
      </c>
      <c r="E51" s="24">
        <v>5</v>
      </c>
      <c r="F51" s="15">
        <v>3</v>
      </c>
      <c r="G51" s="25" t="s">
        <v>19</v>
      </c>
      <c r="H51" s="17">
        <v>1.23</v>
      </c>
      <c r="I51" s="17">
        <v>0.99</v>
      </c>
      <c r="J51" s="17">
        <v>4.88</v>
      </c>
      <c r="K51" s="18">
        <v>62.5</v>
      </c>
      <c r="L51" s="18">
        <v>6.2</v>
      </c>
      <c r="M51" s="18">
        <v>14.5</v>
      </c>
    </row>
    <row r="52" spans="1:13" ht="15.75" customHeight="1" x14ac:dyDescent="0.3">
      <c r="A52" s="89">
        <v>50</v>
      </c>
      <c r="B52" s="25" t="s">
        <v>271</v>
      </c>
      <c r="C52" s="15">
        <v>34</v>
      </c>
      <c r="D52" s="15">
        <v>3</v>
      </c>
      <c r="E52" s="15">
        <v>2</v>
      </c>
      <c r="F52" s="15">
        <v>3</v>
      </c>
      <c r="G52" s="25" t="s">
        <v>19</v>
      </c>
      <c r="H52" s="17">
        <v>0.99</v>
      </c>
      <c r="I52" s="17">
        <v>0.65</v>
      </c>
      <c r="J52" s="17">
        <v>44.78</v>
      </c>
      <c r="K52" s="18">
        <v>91.7</v>
      </c>
      <c r="L52" s="18">
        <v>8.3000000000000007</v>
      </c>
      <c r="M52" s="18">
        <v>16</v>
      </c>
    </row>
    <row r="53" spans="1:13" ht="15.75" customHeight="1" x14ac:dyDescent="0.3">
      <c r="A53" s="89">
        <v>51</v>
      </c>
      <c r="B53" s="25" t="s">
        <v>37</v>
      </c>
      <c r="C53" s="15">
        <v>184</v>
      </c>
      <c r="D53" s="15">
        <v>5</v>
      </c>
      <c r="E53" s="15">
        <v>5</v>
      </c>
      <c r="F53" s="15">
        <v>3</v>
      </c>
      <c r="G53" s="25" t="s">
        <v>19</v>
      </c>
      <c r="H53" s="17">
        <v>1.91</v>
      </c>
      <c r="I53" s="17">
        <v>1.66</v>
      </c>
      <c r="J53" s="17">
        <v>6.21</v>
      </c>
      <c r="K53" s="18">
        <v>40.4</v>
      </c>
      <c r="L53" s="18">
        <v>5.6</v>
      </c>
      <c r="M53" s="18">
        <v>14</v>
      </c>
    </row>
    <row r="54" spans="1:13" ht="15.75" customHeight="1" x14ac:dyDescent="0.3">
      <c r="A54" s="89">
        <v>52</v>
      </c>
      <c r="B54" s="25" t="s">
        <v>48</v>
      </c>
      <c r="C54" s="15">
        <v>62</v>
      </c>
      <c r="D54" s="15">
        <v>3</v>
      </c>
      <c r="E54" s="15">
        <v>4</v>
      </c>
      <c r="F54" s="15">
        <v>3</v>
      </c>
      <c r="G54" s="25" t="s">
        <v>19</v>
      </c>
      <c r="H54" s="17">
        <v>0.76</v>
      </c>
      <c r="I54" s="17">
        <v>0.98</v>
      </c>
      <c r="J54" s="17">
        <v>0.8</v>
      </c>
      <c r="K54" s="18">
        <v>54.5</v>
      </c>
      <c r="L54" s="18">
        <v>0</v>
      </c>
      <c r="M54" s="18">
        <v>26</v>
      </c>
    </row>
    <row r="55" spans="1:13" ht="15.75" customHeight="1" x14ac:dyDescent="0.3">
      <c r="A55" s="89">
        <v>53</v>
      </c>
      <c r="B55" s="25" t="s">
        <v>339</v>
      </c>
      <c r="C55" s="15">
        <v>55</v>
      </c>
      <c r="D55" s="15">
        <v>5</v>
      </c>
      <c r="E55" s="15">
        <v>5</v>
      </c>
      <c r="F55" s="15">
        <v>3</v>
      </c>
      <c r="G55" s="25" t="s">
        <v>19</v>
      </c>
      <c r="H55" s="17">
        <v>1.96</v>
      </c>
      <c r="I55" s="17">
        <v>1.52</v>
      </c>
      <c r="J55" s="17">
        <v>5.49</v>
      </c>
      <c r="K55" s="18">
        <v>100</v>
      </c>
      <c r="L55" s="18">
        <v>23.5</v>
      </c>
      <c r="M55" s="18">
        <v>15</v>
      </c>
    </row>
    <row r="56" spans="1:13" ht="15.75" customHeight="1" x14ac:dyDescent="0.3">
      <c r="A56" s="90">
        <v>54</v>
      </c>
      <c r="B56" s="20" t="s">
        <v>340</v>
      </c>
      <c r="C56" s="29">
        <v>16</v>
      </c>
      <c r="D56" s="29" t="s">
        <v>24</v>
      </c>
      <c r="E56" s="29" t="s">
        <v>24</v>
      </c>
      <c r="F56" s="21">
        <v>3</v>
      </c>
      <c r="G56" s="20" t="s">
        <v>25</v>
      </c>
      <c r="H56" s="22">
        <v>0.67</v>
      </c>
      <c r="I56" s="22">
        <v>0.44</v>
      </c>
      <c r="J56" s="22">
        <v>10.5</v>
      </c>
      <c r="K56" s="23">
        <v>66.7</v>
      </c>
      <c r="L56" s="23">
        <v>16.7</v>
      </c>
      <c r="M56" s="23">
        <v>22</v>
      </c>
    </row>
    <row r="57" spans="1:13" ht="15.75" customHeight="1" x14ac:dyDescent="0.3">
      <c r="A57" s="90">
        <v>55</v>
      </c>
      <c r="B57" s="20" t="s">
        <v>131</v>
      </c>
      <c r="C57" s="21">
        <v>44</v>
      </c>
      <c r="D57" s="29" t="s">
        <v>24</v>
      </c>
      <c r="E57" s="29" t="s">
        <v>24</v>
      </c>
      <c r="F57" s="21">
        <v>3</v>
      </c>
      <c r="G57" s="20" t="s">
        <v>25</v>
      </c>
      <c r="H57" s="22">
        <v>1.06</v>
      </c>
      <c r="I57" s="22">
        <v>1.08</v>
      </c>
      <c r="J57" s="22">
        <v>4.55</v>
      </c>
      <c r="K57" s="23">
        <v>94.7</v>
      </c>
      <c r="L57" s="23">
        <v>26.3</v>
      </c>
      <c r="M57" s="23">
        <v>17</v>
      </c>
    </row>
    <row r="58" spans="1:13" ht="15.75" customHeight="1" x14ac:dyDescent="0.3">
      <c r="A58" s="90">
        <v>56</v>
      </c>
      <c r="B58" s="20" t="s">
        <v>29</v>
      </c>
      <c r="C58" s="21">
        <v>67</v>
      </c>
      <c r="D58" s="29" t="s">
        <v>24</v>
      </c>
      <c r="E58" s="29" t="s">
        <v>24</v>
      </c>
      <c r="F58" s="21">
        <v>3</v>
      </c>
      <c r="G58" s="20" t="s">
        <v>25</v>
      </c>
      <c r="H58" s="22">
        <v>0.9</v>
      </c>
      <c r="I58" s="22">
        <v>1.0900000000000001</v>
      </c>
      <c r="J58" s="22">
        <v>19.61</v>
      </c>
      <c r="K58" s="23">
        <v>64.3</v>
      </c>
      <c r="L58" s="23">
        <v>21.4</v>
      </c>
      <c r="M58" s="23">
        <v>21</v>
      </c>
    </row>
    <row r="59" spans="1:13" ht="15.75" customHeight="1" x14ac:dyDescent="0.3">
      <c r="A59" s="90">
        <v>57</v>
      </c>
      <c r="B59" s="20" t="s">
        <v>341</v>
      </c>
      <c r="C59" s="21">
        <v>32</v>
      </c>
      <c r="D59" s="29" t="s">
        <v>24</v>
      </c>
      <c r="E59" s="29" t="s">
        <v>24</v>
      </c>
      <c r="F59" s="21">
        <v>3</v>
      </c>
      <c r="G59" s="20" t="s">
        <v>25</v>
      </c>
      <c r="H59" s="22">
        <v>0.36</v>
      </c>
      <c r="I59" s="22">
        <v>0.5</v>
      </c>
      <c r="J59" s="22">
        <v>3.25</v>
      </c>
      <c r="K59" s="23">
        <v>76.5</v>
      </c>
      <c r="L59" s="23">
        <v>23.5</v>
      </c>
      <c r="M59" s="23">
        <v>19</v>
      </c>
    </row>
    <row r="60" spans="1:13" ht="15.75" customHeight="1" x14ac:dyDescent="0.3">
      <c r="A60" s="90">
        <v>58</v>
      </c>
      <c r="B60" s="20" t="s">
        <v>52</v>
      </c>
      <c r="C60" s="29">
        <v>41</v>
      </c>
      <c r="D60" s="29" t="s">
        <v>24</v>
      </c>
      <c r="E60" s="29" t="s">
        <v>24</v>
      </c>
      <c r="F60" s="21">
        <v>3</v>
      </c>
      <c r="G60" s="20" t="s">
        <v>25</v>
      </c>
      <c r="H60" s="22">
        <v>0.62</v>
      </c>
      <c r="I60" s="22">
        <v>0.98</v>
      </c>
      <c r="J60" s="22">
        <v>6.84</v>
      </c>
      <c r="K60" s="23">
        <v>93.8</v>
      </c>
      <c r="L60" s="23">
        <v>12.5</v>
      </c>
      <c r="M60" s="23">
        <v>13.5</v>
      </c>
    </row>
    <row r="61" spans="1:13" ht="15.75" customHeight="1" x14ac:dyDescent="0.3">
      <c r="A61" s="90">
        <v>59</v>
      </c>
      <c r="B61" s="20" t="s">
        <v>305</v>
      </c>
      <c r="C61" s="21">
        <v>37</v>
      </c>
      <c r="D61" s="29" t="s">
        <v>24</v>
      </c>
      <c r="E61" s="29" t="s">
        <v>24</v>
      </c>
      <c r="F61" s="21">
        <v>3</v>
      </c>
      <c r="G61" s="20" t="s">
        <v>25</v>
      </c>
      <c r="H61" s="22">
        <v>0.64</v>
      </c>
      <c r="I61" s="22">
        <v>0.77</v>
      </c>
      <c r="J61" s="22">
        <v>4.4800000000000004</v>
      </c>
      <c r="K61" s="23">
        <v>100</v>
      </c>
      <c r="L61" s="23">
        <v>64.3</v>
      </c>
      <c r="M61" s="23">
        <v>24.5</v>
      </c>
    </row>
    <row r="62" spans="1:13" ht="15.75" customHeight="1" x14ac:dyDescent="0.3">
      <c r="A62" s="89">
        <v>60</v>
      </c>
      <c r="B62" s="25" t="s">
        <v>342</v>
      </c>
      <c r="C62" s="15">
        <v>24</v>
      </c>
      <c r="D62" s="15">
        <v>3</v>
      </c>
      <c r="E62" s="15">
        <v>2</v>
      </c>
      <c r="F62" s="15">
        <v>3</v>
      </c>
      <c r="G62" s="25" t="s">
        <v>19</v>
      </c>
      <c r="H62" s="17">
        <v>1.6</v>
      </c>
      <c r="I62" s="17">
        <v>1.1100000000000001</v>
      </c>
      <c r="J62" s="17">
        <v>20</v>
      </c>
      <c r="K62" s="18">
        <v>100</v>
      </c>
      <c r="L62" s="18">
        <v>66.7</v>
      </c>
      <c r="M62" s="18">
        <v>18.5</v>
      </c>
    </row>
    <row r="63" spans="1:13" ht="15.75" customHeight="1" x14ac:dyDescent="0.3">
      <c r="A63" s="89">
        <v>61</v>
      </c>
      <c r="B63" s="25" t="s">
        <v>343</v>
      </c>
      <c r="C63" s="15">
        <v>25</v>
      </c>
      <c r="D63" s="15">
        <v>5</v>
      </c>
      <c r="E63" s="15">
        <v>5</v>
      </c>
      <c r="F63" s="15">
        <v>3</v>
      </c>
      <c r="G63" s="25" t="s">
        <v>19</v>
      </c>
      <c r="H63" s="17">
        <v>0.69</v>
      </c>
      <c r="I63" s="17">
        <v>0.44</v>
      </c>
      <c r="J63" s="17">
        <v>2.39</v>
      </c>
      <c r="K63" s="18">
        <v>80</v>
      </c>
      <c r="L63" s="18">
        <v>6.7</v>
      </c>
      <c r="M63" s="18">
        <v>21</v>
      </c>
    </row>
    <row r="64" spans="1:13" ht="15.75" customHeight="1" x14ac:dyDescent="0.3">
      <c r="A64" s="89">
        <v>62</v>
      </c>
      <c r="B64" s="25" t="s">
        <v>18</v>
      </c>
      <c r="C64" s="15">
        <v>36</v>
      </c>
      <c r="D64" s="15">
        <v>4</v>
      </c>
      <c r="E64" s="15">
        <v>4</v>
      </c>
      <c r="F64" s="15">
        <v>3</v>
      </c>
      <c r="G64" s="25" t="s">
        <v>19</v>
      </c>
      <c r="H64" s="17">
        <v>0.56999999999999995</v>
      </c>
      <c r="I64" s="17">
        <v>0.71</v>
      </c>
      <c r="J64" s="17">
        <v>7.19</v>
      </c>
      <c r="K64" s="18">
        <v>69.400000000000006</v>
      </c>
      <c r="L64" s="18">
        <v>11.1</v>
      </c>
      <c r="M64" s="18">
        <v>19</v>
      </c>
    </row>
    <row r="65" spans="1:13" ht="15.75" customHeight="1" x14ac:dyDescent="0.3">
      <c r="A65" s="90">
        <v>63</v>
      </c>
      <c r="B65" s="20" t="s">
        <v>344</v>
      </c>
      <c r="C65" s="21">
        <v>8</v>
      </c>
      <c r="D65" s="29" t="s">
        <v>24</v>
      </c>
      <c r="E65" s="29" t="s">
        <v>24</v>
      </c>
      <c r="F65" s="21">
        <v>3</v>
      </c>
      <c r="G65" s="20" t="s">
        <v>25</v>
      </c>
      <c r="H65" s="22">
        <v>0.63</v>
      </c>
      <c r="I65" s="22">
        <v>0.74</v>
      </c>
      <c r="J65" s="22">
        <v>4.59</v>
      </c>
      <c r="K65" s="23">
        <v>75</v>
      </c>
      <c r="L65" s="23">
        <v>25</v>
      </c>
      <c r="M65" s="23">
        <v>17</v>
      </c>
    </row>
    <row r="66" spans="1:13" ht="15.75" customHeight="1" x14ac:dyDescent="0.3">
      <c r="A66" s="89">
        <v>64</v>
      </c>
      <c r="B66" s="25" t="s">
        <v>115</v>
      </c>
      <c r="C66" s="24">
        <v>173</v>
      </c>
      <c r="D66" s="24">
        <v>5</v>
      </c>
      <c r="E66" s="24">
        <v>5</v>
      </c>
      <c r="F66" s="15">
        <v>3</v>
      </c>
      <c r="G66" s="25" t="s">
        <v>19</v>
      </c>
      <c r="H66" s="17">
        <v>2.36</v>
      </c>
      <c r="I66" s="17">
        <v>1.49</v>
      </c>
      <c r="J66" s="17">
        <v>32.520000000000003</v>
      </c>
      <c r="K66" s="18">
        <v>73.7</v>
      </c>
      <c r="L66" s="18">
        <v>11.8</v>
      </c>
      <c r="M66" s="18">
        <v>13.5</v>
      </c>
    </row>
    <row r="67" spans="1:13" ht="15.75" customHeight="1" x14ac:dyDescent="0.3">
      <c r="A67" s="90">
        <v>65</v>
      </c>
      <c r="B67" s="20" t="s">
        <v>85</v>
      </c>
      <c r="C67" s="21">
        <v>55</v>
      </c>
      <c r="D67" s="29" t="s">
        <v>24</v>
      </c>
      <c r="E67" s="29" t="s">
        <v>24</v>
      </c>
      <c r="F67" s="21">
        <v>3</v>
      </c>
      <c r="G67" s="20" t="s">
        <v>25</v>
      </c>
      <c r="H67" s="22">
        <v>1.99</v>
      </c>
      <c r="I67" s="22">
        <v>1.23</v>
      </c>
      <c r="J67" s="22">
        <v>0</v>
      </c>
      <c r="K67" s="23">
        <v>65</v>
      </c>
      <c r="L67" s="23">
        <v>10</v>
      </c>
      <c r="M67" s="23">
        <v>15.5</v>
      </c>
    </row>
    <row r="68" spans="1:13" ht="15.75" customHeight="1" x14ac:dyDescent="0.3">
      <c r="A68" s="89">
        <v>66</v>
      </c>
      <c r="B68" s="25" t="s">
        <v>345</v>
      </c>
      <c r="C68" s="15">
        <v>45</v>
      </c>
      <c r="D68" s="15">
        <v>3</v>
      </c>
      <c r="E68" s="15">
        <v>3</v>
      </c>
      <c r="F68" s="15">
        <v>3</v>
      </c>
      <c r="G68" s="25" t="s">
        <v>19</v>
      </c>
      <c r="H68" s="17">
        <v>1.1000000000000001</v>
      </c>
      <c r="I68" s="17">
        <v>0.48</v>
      </c>
      <c r="J68" s="17">
        <v>5.59</v>
      </c>
      <c r="K68" s="18">
        <v>95.5</v>
      </c>
      <c r="L68" s="18">
        <v>9.1</v>
      </c>
      <c r="M68" s="18">
        <v>14.5</v>
      </c>
    </row>
    <row r="69" spans="1:13" ht="15.75" customHeight="1" x14ac:dyDescent="0.3">
      <c r="A69" s="90">
        <v>67</v>
      </c>
      <c r="B69" s="20" t="s">
        <v>113</v>
      </c>
      <c r="C69" s="21">
        <v>62</v>
      </c>
      <c r="D69" s="29" t="s">
        <v>24</v>
      </c>
      <c r="E69" s="29" t="s">
        <v>24</v>
      </c>
      <c r="F69" s="21">
        <v>3</v>
      </c>
      <c r="G69" s="20" t="s">
        <v>25</v>
      </c>
      <c r="H69" s="22">
        <v>1.53</v>
      </c>
      <c r="I69" s="22">
        <v>2.16</v>
      </c>
      <c r="J69" s="22">
        <v>20.3</v>
      </c>
      <c r="K69" s="23">
        <v>28.6</v>
      </c>
      <c r="L69" s="23">
        <v>0</v>
      </c>
      <c r="M69" s="23">
        <v>9</v>
      </c>
    </row>
    <row r="70" spans="1:13" ht="15.75" customHeight="1" x14ac:dyDescent="0.3">
      <c r="A70" s="89">
        <v>68</v>
      </c>
      <c r="B70" s="25" t="s">
        <v>22</v>
      </c>
      <c r="C70" s="15">
        <v>62</v>
      </c>
      <c r="D70" s="15">
        <v>3</v>
      </c>
      <c r="E70" s="15">
        <v>3</v>
      </c>
      <c r="F70" s="15">
        <v>3</v>
      </c>
      <c r="G70" s="25" t="s">
        <v>19</v>
      </c>
      <c r="H70" s="17">
        <v>1.26</v>
      </c>
      <c r="I70" s="17">
        <v>1.17</v>
      </c>
      <c r="J70" s="17">
        <v>12.89</v>
      </c>
      <c r="K70" s="18">
        <v>59.3</v>
      </c>
      <c r="L70" s="18">
        <v>14.8</v>
      </c>
      <c r="M70" s="18">
        <v>16</v>
      </c>
    </row>
    <row r="71" spans="1:13" ht="15.75" customHeight="1" x14ac:dyDescent="0.3">
      <c r="A71" s="89">
        <v>69</v>
      </c>
      <c r="B71" s="25" t="s">
        <v>103</v>
      </c>
      <c r="C71" s="15">
        <v>283</v>
      </c>
      <c r="D71" s="15">
        <v>4</v>
      </c>
      <c r="E71" s="15">
        <v>4</v>
      </c>
      <c r="F71" s="15">
        <v>3</v>
      </c>
      <c r="G71" s="25" t="s">
        <v>19</v>
      </c>
      <c r="H71" s="17">
        <v>3.26</v>
      </c>
      <c r="I71" s="17">
        <v>3.37</v>
      </c>
      <c r="J71" s="17">
        <v>10.1</v>
      </c>
      <c r="K71" s="18">
        <v>36.9</v>
      </c>
      <c r="L71" s="18">
        <v>4.5</v>
      </c>
      <c r="M71" s="18">
        <v>18</v>
      </c>
    </row>
    <row r="72" spans="1:13" ht="15.75" customHeight="1" x14ac:dyDescent="0.3">
      <c r="A72" s="89">
        <v>70</v>
      </c>
      <c r="B72" s="25" t="s">
        <v>120</v>
      </c>
      <c r="C72" s="15">
        <v>63</v>
      </c>
      <c r="D72" s="15">
        <v>5</v>
      </c>
      <c r="E72" s="15">
        <v>5</v>
      </c>
      <c r="F72" s="15">
        <v>3</v>
      </c>
      <c r="G72" s="25" t="s">
        <v>19</v>
      </c>
      <c r="H72" s="17">
        <v>1.9</v>
      </c>
      <c r="I72" s="17">
        <v>0.59</v>
      </c>
      <c r="J72" s="17">
        <v>3.13</v>
      </c>
      <c r="K72" s="18">
        <v>32.299999999999997</v>
      </c>
      <c r="L72" s="18">
        <v>3.2</v>
      </c>
      <c r="M72" s="18">
        <v>21</v>
      </c>
    </row>
    <row r="73" spans="1:13" ht="15.75" customHeight="1" x14ac:dyDescent="0.3">
      <c r="A73" s="89">
        <v>71</v>
      </c>
      <c r="B73" s="25" t="s">
        <v>99</v>
      </c>
      <c r="C73" s="15">
        <v>116</v>
      </c>
      <c r="D73" s="15">
        <v>4</v>
      </c>
      <c r="E73" s="15">
        <v>4</v>
      </c>
      <c r="F73" s="15">
        <v>3</v>
      </c>
      <c r="G73" s="25" t="s">
        <v>19</v>
      </c>
      <c r="H73" s="17">
        <v>2.94</v>
      </c>
      <c r="I73" s="17">
        <v>3.09</v>
      </c>
      <c r="J73" s="17">
        <v>8.82</v>
      </c>
      <c r="K73" s="18">
        <v>42.6</v>
      </c>
      <c r="L73" s="18">
        <v>14.8</v>
      </c>
      <c r="M73" s="18">
        <v>20.5</v>
      </c>
    </row>
    <row r="74" spans="1:13" ht="15.75" customHeight="1" x14ac:dyDescent="0.3">
      <c r="A74" s="89">
        <v>72</v>
      </c>
      <c r="B74" s="25" t="s">
        <v>346</v>
      </c>
      <c r="C74" s="15">
        <v>20</v>
      </c>
      <c r="D74" s="15">
        <v>3</v>
      </c>
      <c r="E74" s="15">
        <v>4</v>
      </c>
      <c r="F74" s="15">
        <v>3</v>
      </c>
      <c r="G74" s="25" t="s">
        <v>19</v>
      </c>
      <c r="H74" s="17">
        <v>0.72</v>
      </c>
      <c r="I74" s="17">
        <v>0.38</v>
      </c>
      <c r="J74" s="17">
        <v>3.25</v>
      </c>
      <c r="K74" s="18">
        <v>100</v>
      </c>
      <c r="L74" s="18">
        <v>37.5</v>
      </c>
      <c r="M74" s="18">
        <v>15.5</v>
      </c>
    </row>
    <row r="75" spans="1:13" ht="15.75" customHeight="1" x14ac:dyDescent="0.3">
      <c r="A75" s="89">
        <v>73</v>
      </c>
      <c r="B75" s="25" t="s">
        <v>67</v>
      </c>
      <c r="C75" s="15">
        <v>126</v>
      </c>
      <c r="D75" s="15">
        <v>4</v>
      </c>
      <c r="E75" s="15">
        <v>3</v>
      </c>
      <c r="F75" s="15">
        <v>3</v>
      </c>
      <c r="G75" s="25" t="s">
        <v>19</v>
      </c>
      <c r="H75" s="17">
        <v>1.45</v>
      </c>
      <c r="I75" s="17">
        <v>1.32</v>
      </c>
      <c r="J75" s="17">
        <v>9.32</v>
      </c>
      <c r="K75" s="18">
        <v>64.2</v>
      </c>
      <c r="L75" s="18">
        <v>23.2</v>
      </c>
      <c r="M75" s="18">
        <v>13</v>
      </c>
    </row>
    <row r="76" spans="1:13" ht="15.75" customHeight="1" x14ac:dyDescent="0.3">
      <c r="A76" s="89">
        <v>74</v>
      </c>
      <c r="B76" s="25" t="s">
        <v>118</v>
      </c>
      <c r="C76" s="24">
        <v>143</v>
      </c>
      <c r="D76" s="24">
        <v>4</v>
      </c>
      <c r="E76" s="24">
        <v>4</v>
      </c>
      <c r="F76" s="15">
        <v>3</v>
      </c>
      <c r="G76" s="25" t="s">
        <v>19</v>
      </c>
      <c r="H76" s="17">
        <v>0.67</v>
      </c>
      <c r="I76" s="17">
        <v>0.98</v>
      </c>
      <c r="J76" s="17">
        <v>6.16</v>
      </c>
      <c r="K76" s="18">
        <v>78.7</v>
      </c>
      <c r="L76" s="18">
        <v>27.7</v>
      </c>
      <c r="M76" s="18">
        <v>18</v>
      </c>
    </row>
    <row r="77" spans="1:13" ht="15.75" customHeight="1" x14ac:dyDescent="0.3">
      <c r="A77" s="89">
        <v>75</v>
      </c>
      <c r="B77" s="25" t="s">
        <v>98</v>
      </c>
      <c r="C77" s="15">
        <v>50</v>
      </c>
      <c r="D77" s="15">
        <v>3</v>
      </c>
      <c r="E77" s="15">
        <v>4</v>
      </c>
      <c r="F77" s="15">
        <v>3</v>
      </c>
      <c r="G77" s="25" t="s">
        <v>19</v>
      </c>
      <c r="H77" s="17">
        <v>0.91</v>
      </c>
      <c r="I77" s="17">
        <v>1.4</v>
      </c>
      <c r="J77" s="17">
        <v>9.24</v>
      </c>
      <c r="K77" s="18">
        <v>80</v>
      </c>
      <c r="L77" s="18">
        <v>20</v>
      </c>
      <c r="M77" s="18">
        <v>16</v>
      </c>
    </row>
    <row r="78" spans="1:13" ht="15.75" customHeight="1" x14ac:dyDescent="0.3">
      <c r="A78" s="90">
        <v>76</v>
      </c>
      <c r="B78" s="20" t="s">
        <v>200</v>
      </c>
      <c r="C78" s="21">
        <v>58</v>
      </c>
      <c r="D78" s="29" t="s">
        <v>24</v>
      </c>
      <c r="E78" s="29" t="s">
        <v>24</v>
      </c>
      <c r="F78" s="21">
        <v>3</v>
      </c>
      <c r="G78" s="20" t="s">
        <v>25</v>
      </c>
      <c r="H78" s="22">
        <v>0.75</v>
      </c>
      <c r="I78" s="22">
        <v>0.73</v>
      </c>
      <c r="J78" s="22">
        <v>2.54</v>
      </c>
      <c r="K78" s="23">
        <v>80.8</v>
      </c>
      <c r="L78" s="23">
        <v>50</v>
      </c>
      <c r="M78" s="23">
        <v>19</v>
      </c>
    </row>
    <row r="79" spans="1:13" ht="15.75" customHeight="1" x14ac:dyDescent="0.3">
      <c r="A79" s="89">
        <v>77</v>
      </c>
      <c r="B79" s="25" t="s">
        <v>36</v>
      </c>
      <c r="C79" s="24">
        <v>76</v>
      </c>
      <c r="D79" s="24">
        <v>3</v>
      </c>
      <c r="E79" s="24">
        <v>3</v>
      </c>
      <c r="F79" s="15">
        <v>2</v>
      </c>
      <c r="G79" s="25" t="s">
        <v>19</v>
      </c>
      <c r="H79" s="17">
        <v>0.99</v>
      </c>
      <c r="I79" s="17">
        <v>0.43</v>
      </c>
      <c r="J79" s="17">
        <v>6.15</v>
      </c>
      <c r="K79" s="18">
        <v>85.7</v>
      </c>
      <c r="L79" s="18">
        <v>19</v>
      </c>
      <c r="M79" s="18">
        <v>38</v>
      </c>
    </row>
    <row r="80" spans="1:13" ht="15.75" customHeight="1" x14ac:dyDescent="0.3">
      <c r="A80" s="90">
        <v>78</v>
      </c>
      <c r="B80" s="20" t="s">
        <v>347</v>
      </c>
      <c r="C80" s="21">
        <v>22</v>
      </c>
      <c r="D80" s="29" t="s">
        <v>24</v>
      </c>
      <c r="E80" s="29" t="s">
        <v>24</v>
      </c>
      <c r="F80" s="21">
        <v>2</v>
      </c>
      <c r="G80" s="20" t="s">
        <v>25</v>
      </c>
      <c r="H80" s="22">
        <v>0.78</v>
      </c>
      <c r="I80" s="22">
        <v>0.45</v>
      </c>
      <c r="J80" s="22">
        <v>0</v>
      </c>
      <c r="K80" s="23">
        <v>60</v>
      </c>
      <c r="L80" s="23">
        <v>20</v>
      </c>
      <c r="M80" s="23">
        <v>21</v>
      </c>
    </row>
    <row r="81" spans="1:13" ht="15.75" customHeight="1" x14ac:dyDescent="0.3">
      <c r="A81" s="89">
        <v>79</v>
      </c>
      <c r="B81" s="25" t="s">
        <v>122</v>
      </c>
      <c r="C81" s="15">
        <v>112</v>
      </c>
      <c r="D81" s="15">
        <v>3</v>
      </c>
      <c r="E81" s="15">
        <v>3</v>
      </c>
      <c r="F81" s="15">
        <v>2</v>
      </c>
      <c r="G81" s="25" t="s">
        <v>19</v>
      </c>
      <c r="H81" s="17">
        <v>1.1200000000000001</v>
      </c>
      <c r="I81" s="17">
        <v>0.81</v>
      </c>
      <c r="J81" s="17">
        <v>6.13</v>
      </c>
      <c r="K81" s="18">
        <v>92.7</v>
      </c>
      <c r="L81" s="18">
        <v>5.5</v>
      </c>
      <c r="M81" s="18">
        <v>19</v>
      </c>
    </row>
    <row r="82" spans="1:13" ht="15.75" customHeight="1" x14ac:dyDescent="0.3">
      <c r="A82" s="92">
        <v>80</v>
      </c>
      <c r="B82" s="20" t="s">
        <v>63</v>
      </c>
      <c r="C82" s="21">
        <v>84</v>
      </c>
      <c r="D82" s="29" t="s">
        <v>24</v>
      </c>
      <c r="E82" s="29" t="s">
        <v>24</v>
      </c>
      <c r="F82" s="21">
        <v>2</v>
      </c>
      <c r="G82" s="20" t="s">
        <v>25</v>
      </c>
      <c r="H82" s="22">
        <v>0.78</v>
      </c>
      <c r="I82" s="22">
        <v>0.73</v>
      </c>
      <c r="J82" s="22">
        <v>4.51</v>
      </c>
      <c r="K82" s="23">
        <v>75</v>
      </c>
      <c r="L82" s="23">
        <v>10</v>
      </c>
      <c r="M82" s="23">
        <v>16</v>
      </c>
    </row>
    <row r="83" spans="1:13" ht="15.75" customHeight="1" x14ac:dyDescent="0.3">
      <c r="A83" s="14">
        <v>81</v>
      </c>
      <c r="B83" s="25" t="s">
        <v>348</v>
      </c>
      <c r="C83" s="15">
        <v>24</v>
      </c>
      <c r="D83" s="15">
        <v>4</v>
      </c>
      <c r="E83" s="15">
        <v>3</v>
      </c>
      <c r="F83" s="15">
        <v>2</v>
      </c>
      <c r="G83" s="25" t="s">
        <v>19</v>
      </c>
      <c r="H83" s="17">
        <v>1.07</v>
      </c>
      <c r="I83" s="17">
        <v>1.1200000000000001</v>
      </c>
      <c r="J83" s="17">
        <v>0</v>
      </c>
      <c r="K83" s="18">
        <v>35.700000000000003</v>
      </c>
      <c r="L83" s="18">
        <v>42.9</v>
      </c>
      <c r="M83" s="18">
        <v>19</v>
      </c>
    </row>
    <row r="84" spans="1:13" ht="15.75" customHeight="1" x14ac:dyDescent="0.3">
      <c r="A84" s="26">
        <v>82</v>
      </c>
      <c r="B84" s="20" t="s">
        <v>349</v>
      </c>
      <c r="C84" s="29">
        <v>10</v>
      </c>
      <c r="D84" s="29" t="s">
        <v>24</v>
      </c>
      <c r="E84" s="29" t="s">
        <v>24</v>
      </c>
      <c r="F84" s="21">
        <v>2</v>
      </c>
      <c r="G84" s="20" t="s">
        <v>25</v>
      </c>
      <c r="H84" s="22">
        <v>1.04</v>
      </c>
      <c r="I84" s="22">
        <v>0.53</v>
      </c>
      <c r="J84" s="22">
        <v>10.45</v>
      </c>
      <c r="K84" s="23">
        <v>100</v>
      </c>
      <c r="L84" s="23">
        <v>16.7</v>
      </c>
      <c r="M84" s="23">
        <v>27</v>
      </c>
    </row>
    <row r="85" spans="1:13" ht="15.75" customHeight="1" x14ac:dyDescent="0.3">
      <c r="A85" s="14">
        <v>83</v>
      </c>
      <c r="B85" s="25" t="s">
        <v>350</v>
      </c>
      <c r="C85" s="24">
        <v>63</v>
      </c>
      <c r="D85" s="24">
        <v>4</v>
      </c>
      <c r="E85" s="24">
        <v>4</v>
      </c>
      <c r="F85" s="15">
        <v>2</v>
      </c>
      <c r="G85" s="25" t="s">
        <v>19</v>
      </c>
      <c r="H85" s="17">
        <v>0.69</v>
      </c>
      <c r="I85" s="17">
        <v>0.57999999999999996</v>
      </c>
      <c r="J85" s="17">
        <v>11.56</v>
      </c>
      <c r="K85" s="18">
        <v>36.799999999999997</v>
      </c>
      <c r="L85" s="18">
        <v>21.1</v>
      </c>
      <c r="M85" s="18">
        <v>23.5</v>
      </c>
    </row>
    <row r="86" spans="1:13" ht="15.75" customHeight="1" x14ac:dyDescent="0.3">
      <c r="A86" s="26">
        <v>84</v>
      </c>
      <c r="B86" s="20" t="s">
        <v>351</v>
      </c>
      <c r="C86" s="21">
        <v>169</v>
      </c>
      <c r="D86" s="29" t="s">
        <v>24</v>
      </c>
      <c r="E86" s="29" t="s">
        <v>24</v>
      </c>
      <c r="F86" s="21">
        <v>2</v>
      </c>
      <c r="G86" s="20" t="s">
        <v>25</v>
      </c>
      <c r="H86" s="22">
        <v>2.2599999999999998</v>
      </c>
      <c r="I86" s="22">
        <v>1.38</v>
      </c>
      <c r="J86" s="22">
        <v>7.67</v>
      </c>
      <c r="K86" s="23">
        <v>68.5</v>
      </c>
      <c r="L86" s="23">
        <v>17.8</v>
      </c>
      <c r="M86" s="23">
        <v>22.5</v>
      </c>
    </row>
    <row r="87" spans="1:13" ht="15.75" customHeight="1" x14ac:dyDescent="0.3">
      <c r="A87" s="14">
        <v>85</v>
      </c>
      <c r="B87" s="25" t="s">
        <v>104</v>
      </c>
      <c r="C87" s="24">
        <v>85</v>
      </c>
      <c r="D87" s="24">
        <v>4</v>
      </c>
      <c r="E87" s="24">
        <v>4</v>
      </c>
      <c r="F87" s="15">
        <v>2</v>
      </c>
      <c r="G87" s="25" t="s">
        <v>19</v>
      </c>
      <c r="H87" s="17">
        <v>2.44</v>
      </c>
      <c r="I87" s="17">
        <v>1.82</v>
      </c>
      <c r="J87" s="17">
        <v>15.25</v>
      </c>
      <c r="K87" s="18">
        <v>59.7</v>
      </c>
      <c r="L87" s="18">
        <v>23.9</v>
      </c>
      <c r="M87" s="18">
        <v>25.5</v>
      </c>
    </row>
    <row r="88" spans="1:13" ht="15.75" customHeight="1" x14ac:dyDescent="0.3">
      <c r="A88" s="14">
        <v>86</v>
      </c>
      <c r="B88" s="25" t="s">
        <v>56</v>
      </c>
      <c r="C88" s="24">
        <v>112</v>
      </c>
      <c r="D88" s="24">
        <v>5</v>
      </c>
      <c r="E88" s="24">
        <v>5</v>
      </c>
      <c r="F88" s="15">
        <v>2</v>
      </c>
      <c r="G88" s="25" t="s">
        <v>19</v>
      </c>
      <c r="H88" s="17">
        <v>1.58</v>
      </c>
      <c r="I88" s="17">
        <v>1.58</v>
      </c>
      <c r="J88" s="17">
        <v>3.58</v>
      </c>
      <c r="K88" s="18">
        <v>62.3</v>
      </c>
      <c r="L88" s="18">
        <v>15.9</v>
      </c>
      <c r="M88" s="18">
        <v>16</v>
      </c>
    </row>
    <row r="89" spans="1:13" ht="15.75" customHeight="1" x14ac:dyDescent="0.3">
      <c r="A89" s="14">
        <v>87</v>
      </c>
      <c r="B89" s="25" t="s">
        <v>70</v>
      </c>
      <c r="C89" s="15">
        <v>80</v>
      </c>
      <c r="D89" s="15">
        <v>3</v>
      </c>
      <c r="E89" s="15">
        <v>4</v>
      </c>
      <c r="F89" s="15">
        <v>2</v>
      </c>
      <c r="G89" s="25" t="s">
        <v>19</v>
      </c>
      <c r="H89" s="17">
        <v>1.76</v>
      </c>
      <c r="I89" s="17">
        <v>0.7</v>
      </c>
      <c r="J89" s="17">
        <v>5.38</v>
      </c>
      <c r="K89" s="18">
        <v>83.3</v>
      </c>
      <c r="L89" s="18">
        <v>53.3</v>
      </c>
      <c r="M89" s="18">
        <v>18.5</v>
      </c>
    </row>
    <row r="90" spans="1:13" ht="15.75" customHeight="1" x14ac:dyDescent="0.3">
      <c r="A90" s="14">
        <v>88</v>
      </c>
      <c r="B90" s="25" t="s">
        <v>208</v>
      </c>
      <c r="C90" s="24">
        <v>102</v>
      </c>
      <c r="D90" s="24">
        <v>4</v>
      </c>
      <c r="E90" s="24">
        <v>4</v>
      </c>
      <c r="F90" s="15">
        <v>2</v>
      </c>
      <c r="G90" s="25" t="s">
        <v>19</v>
      </c>
      <c r="H90" s="17">
        <v>1.26</v>
      </c>
      <c r="I90" s="17">
        <v>0.98</v>
      </c>
      <c r="J90" s="17">
        <v>4.95</v>
      </c>
      <c r="K90" s="18">
        <v>65.7</v>
      </c>
      <c r="L90" s="18">
        <v>17.100000000000001</v>
      </c>
      <c r="M90" s="18">
        <v>21</v>
      </c>
    </row>
    <row r="91" spans="1:13" ht="15.75" customHeight="1" x14ac:dyDescent="0.3">
      <c r="A91" s="14">
        <v>89</v>
      </c>
      <c r="B91" s="25" t="s">
        <v>117</v>
      </c>
      <c r="C91" s="15">
        <v>38</v>
      </c>
      <c r="D91" s="15">
        <v>3</v>
      </c>
      <c r="E91" s="15">
        <v>3</v>
      </c>
      <c r="F91" s="15">
        <v>2</v>
      </c>
      <c r="G91" s="25" t="s">
        <v>19</v>
      </c>
      <c r="H91" s="17">
        <v>2.04</v>
      </c>
      <c r="I91" s="17">
        <v>1.59</v>
      </c>
      <c r="J91" s="17">
        <v>0</v>
      </c>
      <c r="K91" s="18">
        <v>58.3</v>
      </c>
      <c r="L91" s="18">
        <v>0</v>
      </c>
      <c r="M91" s="18">
        <v>26.5</v>
      </c>
    </row>
    <row r="92" spans="1:13" ht="15.75" customHeight="1" x14ac:dyDescent="0.3">
      <c r="A92" s="14">
        <v>90</v>
      </c>
      <c r="B92" s="25" t="s">
        <v>352</v>
      </c>
      <c r="C92" s="15">
        <v>24</v>
      </c>
      <c r="D92" s="15">
        <v>4</v>
      </c>
      <c r="E92" s="15">
        <v>4</v>
      </c>
      <c r="F92" s="15">
        <v>2</v>
      </c>
      <c r="G92" s="25" t="s">
        <v>19</v>
      </c>
      <c r="H92" s="17">
        <v>0.84</v>
      </c>
      <c r="I92" s="17">
        <v>0.87</v>
      </c>
      <c r="J92" s="17">
        <v>20.36</v>
      </c>
      <c r="K92" s="18">
        <v>50</v>
      </c>
      <c r="L92" s="18">
        <v>12.5</v>
      </c>
      <c r="M92" s="18">
        <v>25.5</v>
      </c>
    </row>
    <row r="93" spans="1:13" ht="15.75" customHeight="1" x14ac:dyDescent="0.3">
      <c r="A93" s="26">
        <v>91</v>
      </c>
      <c r="B93" s="20" t="s">
        <v>353</v>
      </c>
      <c r="C93" s="29">
        <v>75</v>
      </c>
      <c r="D93" s="29" t="s">
        <v>24</v>
      </c>
      <c r="E93" s="29" t="s">
        <v>24</v>
      </c>
      <c r="F93" s="21">
        <v>2</v>
      </c>
      <c r="G93" s="20" t="s">
        <v>25</v>
      </c>
      <c r="H93" s="22">
        <v>1.66</v>
      </c>
      <c r="I93" s="22">
        <v>1.48</v>
      </c>
      <c r="J93" s="22">
        <v>12.58</v>
      </c>
      <c r="K93" s="23">
        <v>67.900000000000006</v>
      </c>
      <c r="L93" s="23">
        <v>10.7</v>
      </c>
      <c r="M93" s="23">
        <v>18</v>
      </c>
    </row>
    <row r="94" spans="1:13" ht="15.75" customHeight="1" x14ac:dyDescent="0.3">
      <c r="A94" s="26">
        <v>92</v>
      </c>
      <c r="B94" s="20" t="s">
        <v>318</v>
      </c>
      <c r="C94" s="21">
        <v>122</v>
      </c>
      <c r="D94" s="29" t="s">
        <v>24</v>
      </c>
      <c r="E94" s="29" t="s">
        <v>24</v>
      </c>
      <c r="F94" s="21">
        <v>2</v>
      </c>
      <c r="G94" s="20" t="s">
        <v>25</v>
      </c>
      <c r="H94" s="22">
        <v>1.34</v>
      </c>
      <c r="I94" s="22">
        <v>0.81</v>
      </c>
      <c r="J94" s="22">
        <v>10.33</v>
      </c>
      <c r="K94" s="23">
        <v>77.3</v>
      </c>
      <c r="L94" s="23">
        <v>36.4</v>
      </c>
      <c r="M94" s="23">
        <v>23.5</v>
      </c>
    </row>
    <row r="95" spans="1:13" ht="15.75" customHeight="1" x14ac:dyDescent="0.3">
      <c r="A95" s="26">
        <v>93</v>
      </c>
      <c r="B95" s="20" t="s">
        <v>92</v>
      </c>
      <c r="C95" s="21">
        <v>61</v>
      </c>
      <c r="D95" s="29" t="s">
        <v>24</v>
      </c>
      <c r="E95" s="29" t="s">
        <v>24</v>
      </c>
      <c r="F95" s="93">
        <v>2</v>
      </c>
      <c r="G95" s="20" t="s">
        <v>25</v>
      </c>
      <c r="H95" s="22">
        <v>1.49</v>
      </c>
      <c r="I95" s="22">
        <v>0.65</v>
      </c>
      <c r="J95" s="22">
        <v>8.1300000000000008</v>
      </c>
      <c r="K95" s="23">
        <v>92.3</v>
      </c>
      <c r="L95" s="23">
        <v>23.1</v>
      </c>
      <c r="M95" s="23">
        <v>25</v>
      </c>
    </row>
    <row r="96" spans="1:13" ht="15.75" customHeight="1" x14ac:dyDescent="0.3">
      <c r="A96" s="26">
        <v>94</v>
      </c>
      <c r="B96" s="20" t="s">
        <v>354</v>
      </c>
      <c r="C96" s="21">
        <v>27</v>
      </c>
      <c r="D96" s="29" t="s">
        <v>24</v>
      </c>
      <c r="E96" s="29" t="s">
        <v>24</v>
      </c>
      <c r="F96" s="21">
        <v>2</v>
      </c>
      <c r="G96" s="20" t="s">
        <v>25</v>
      </c>
      <c r="H96" s="22">
        <v>0.55000000000000004</v>
      </c>
      <c r="I96" s="22">
        <v>0.45</v>
      </c>
      <c r="J96" s="22">
        <v>15.6</v>
      </c>
      <c r="K96" s="23">
        <v>87.5</v>
      </c>
      <c r="L96" s="23">
        <v>31.2</v>
      </c>
      <c r="M96" s="23">
        <v>15</v>
      </c>
    </row>
    <row r="97" spans="1:13" ht="15.75" customHeight="1" x14ac:dyDescent="0.3">
      <c r="A97" s="14">
        <v>95</v>
      </c>
      <c r="B97" s="25" t="s">
        <v>355</v>
      </c>
      <c r="C97" s="15">
        <v>31</v>
      </c>
      <c r="D97" s="15">
        <v>4</v>
      </c>
      <c r="E97" s="15">
        <v>4</v>
      </c>
      <c r="F97" s="15">
        <v>2</v>
      </c>
      <c r="G97" s="25" t="s">
        <v>19</v>
      </c>
      <c r="H97" s="17">
        <v>1.18</v>
      </c>
      <c r="I97" s="17">
        <v>0.71</v>
      </c>
      <c r="J97" s="17">
        <v>5.15</v>
      </c>
      <c r="K97" s="18">
        <v>67.900000000000006</v>
      </c>
      <c r="L97" s="18">
        <v>14.3</v>
      </c>
      <c r="M97" s="18">
        <v>16</v>
      </c>
    </row>
    <row r="98" spans="1:13" ht="15.75" customHeight="1" x14ac:dyDescent="0.3">
      <c r="A98" s="14">
        <v>96</v>
      </c>
      <c r="B98" s="25" t="s">
        <v>189</v>
      </c>
      <c r="C98" s="24">
        <v>201</v>
      </c>
      <c r="D98" s="24">
        <v>4</v>
      </c>
      <c r="E98" s="24">
        <v>4</v>
      </c>
      <c r="F98" s="15">
        <v>2</v>
      </c>
      <c r="G98" s="25" t="s">
        <v>19</v>
      </c>
      <c r="H98" s="17">
        <v>1.85</v>
      </c>
      <c r="I98" s="17">
        <v>1.73</v>
      </c>
      <c r="J98" s="17">
        <v>5.41</v>
      </c>
      <c r="K98" s="18">
        <v>85.3</v>
      </c>
      <c r="L98" s="18">
        <v>25.5</v>
      </c>
      <c r="M98" s="18">
        <v>22.5</v>
      </c>
    </row>
    <row r="99" spans="1:13" ht="15.75" customHeight="1" x14ac:dyDescent="0.3">
      <c r="A99" s="14">
        <v>97</v>
      </c>
      <c r="B99" s="25" t="s">
        <v>64</v>
      </c>
      <c r="C99" s="15">
        <v>26</v>
      </c>
      <c r="D99" s="15">
        <v>3</v>
      </c>
      <c r="E99" s="15">
        <v>4</v>
      </c>
      <c r="F99" s="15">
        <v>2</v>
      </c>
      <c r="G99" s="25" t="s">
        <v>19</v>
      </c>
      <c r="H99" s="17">
        <v>0.59</v>
      </c>
      <c r="I99" s="17">
        <v>0.94</v>
      </c>
      <c r="J99" s="17">
        <v>0</v>
      </c>
      <c r="K99" s="18">
        <v>91.7</v>
      </c>
      <c r="L99" s="18">
        <v>0</v>
      </c>
      <c r="M99" s="18">
        <v>19</v>
      </c>
    </row>
    <row r="100" spans="1:13" ht="15.75" customHeight="1" x14ac:dyDescent="0.3">
      <c r="A100" s="26">
        <v>98</v>
      </c>
      <c r="B100" s="20" t="s">
        <v>356</v>
      </c>
      <c r="C100" s="21">
        <v>14</v>
      </c>
      <c r="D100" s="29" t="s">
        <v>24</v>
      </c>
      <c r="E100" s="29" t="s">
        <v>24</v>
      </c>
      <c r="F100" s="21">
        <v>2</v>
      </c>
      <c r="G100" s="20" t="s">
        <v>25</v>
      </c>
      <c r="H100" s="22">
        <v>0.31</v>
      </c>
      <c r="I100" s="22">
        <v>0.67</v>
      </c>
      <c r="J100" s="22">
        <v>7.85</v>
      </c>
      <c r="K100" s="23">
        <v>85.7</v>
      </c>
      <c r="L100" s="23">
        <v>42.9</v>
      </c>
      <c r="M100" s="23">
        <v>24</v>
      </c>
    </row>
    <row r="101" spans="1:13" ht="15.75" customHeight="1" x14ac:dyDescent="0.3">
      <c r="A101" s="14">
        <v>99</v>
      </c>
      <c r="B101" s="25" t="s">
        <v>51</v>
      </c>
      <c r="C101" s="15">
        <v>48</v>
      </c>
      <c r="D101" s="15">
        <v>3</v>
      </c>
      <c r="E101" s="15">
        <v>3</v>
      </c>
      <c r="F101" s="15">
        <v>2</v>
      </c>
      <c r="G101" s="25" t="s">
        <v>19</v>
      </c>
      <c r="H101" s="15"/>
      <c r="I101" s="15"/>
      <c r="J101" s="15"/>
      <c r="K101" s="15"/>
      <c r="L101" s="15"/>
      <c r="M101" s="15"/>
    </row>
    <row r="102" spans="1:13" ht="15.75" customHeight="1" x14ac:dyDescent="0.3">
      <c r="A102" s="26">
        <v>100</v>
      </c>
      <c r="B102" s="20" t="s">
        <v>97</v>
      </c>
      <c r="C102" s="29">
        <v>101</v>
      </c>
      <c r="D102" s="29" t="s">
        <v>24</v>
      </c>
      <c r="E102" s="29" t="s">
        <v>24</v>
      </c>
      <c r="F102" s="21">
        <v>2</v>
      </c>
      <c r="G102" s="20" t="s">
        <v>25</v>
      </c>
      <c r="H102" s="22">
        <v>1.49</v>
      </c>
      <c r="I102" s="22">
        <v>3.07</v>
      </c>
      <c r="J102" s="22">
        <v>9.7200000000000006</v>
      </c>
      <c r="K102" s="23">
        <v>46.3</v>
      </c>
      <c r="L102" s="23">
        <v>17.899999999999999</v>
      </c>
      <c r="M102" s="23">
        <v>18</v>
      </c>
    </row>
    <row r="103" spans="1:13" ht="15.75" customHeight="1" x14ac:dyDescent="0.3">
      <c r="A103" s="14">
        <v>101</v>
      </c>
      <c r="B103" s="25" t="s">
        <v>357</v>
      </c>
      <c r="C103" s="24">
        <v>73</v>
      </c>
      <c r="D103" s="24">
        <v>3</v>
      </c>
      <c r="E103" s="24">
        <v>2</v>
      </c>
      <c r="F103" s="15">
        <v>2</v>
      </c>
      <c r="G103" s="25" t="s">
        <v>19</v>
      </c>
      <c r="H103" s="17">
        <v>0.88</v>
      </c>
      <c r="I103" s="17">
        <v>0.89</v>
      </c>
      <c r="J103" s="17">
        <v>9.93</v>
      </c>
      <c r="K103" s="18">
        <v>81.8</v>
      </c>
      <c r="L103" s="18">
        <v>48.5</v>
      </c>
      <c r="M103" s="18">
        <v>23</v>
      </c>
    </row>
    <row r="104" spans="1:13" ht="15.75" customHeight="1" x14ac:dyDescent="0.3">
      <c r="A104" s="14">
        <v>102</v>
      </c>
      <c r="B104" s="25" t="s">
        <v>358</v>
      </c>
      <c r="C104" s="15">
        <v>107</v>
      </c>
      <c r="D104" s="15">
        <v>3</v>
      </c>
      <c r="E104" s="15">
        <v>3</v>
      </c>
      <c r="F104" s="15">
        <v>1</v>
      </c>
      <c r="G104" s="25" t="s">
        <v>19</v>
      </c>
      <c r="H104" s="17">
        <v>2.02</v>
      </c>
      <c r="I104" s="17">
        <v>2.23</v>
      </c>
      <c r="J104" s="17">
        <v>12.02</v>
      </c>
      <c r="K104" s="18">
        <v>52.2</v>
      </c>
      <c r="L104" s="18">
        <v>10.9</v>
      </c>
      <c r="M104" s="18">
        <v>16</v>
      </c>
    </row>
    <row r="105" spans="1:13" ht="15.75" customHeight="1" x14ac:dyDescent="0.3">
      <c r="A105" s="14">
        <v>103</v>
      </c>
      <c r="B105" s="25" t="s">
        <v>359</v>
      </c>
      <c r="C105" s="15">
        <v>68</v>
      </c>
      <c r="D105" s="15">
        <v>3</v>
      </c>
      <c r="E105" s="15">
        <v>4</v>
      </c>
      <c r="F105" s="15">
        <v>1</v>
      </c>
      <c r="G105" s="25" t="s">
        <v>19</v>
      </c>
      <c r="H105" s="17">
        <v>1.25</v>
      </c>
      <c r="I105" s="17">
        <v>0.72</v>
      </c>
      <c r="J105" s="17">
        <v>21.88</v>
      </c>
      <c r="K105" s="18">
        <v>67.599999999999994</v>
      </c>
      <c r="L105" s="18">
        <v>20.6</v>
      </c>
      <c r="M105" s="18">
        <v>24.5</v>
      </c>
    </row>
    <row r="106" spans="1:13" ht="15.75" customHeight="1" x14ac:dyDescent="0.3">
      <c r="A106" s="14">
        <v>104</v>
      </c>
      <c r="B106" s="25" t="s">
        <v>32</v>
      </c>
      <c r="C106" s="15">
        <v>279</v>
      </c>
      <c r="D106" s="15">
        <v>5</v>
      </c>
      <c r="E106" s="15">
        <v>5</v>
      </c>
      <c r="F106" s="15">
        <v>1</v>
      </c>
      <c r="G106" s="25" t="s">
        <v>19</v>
      </c>
      <c r="H106" s="17">
        <v>1.99</v>
      </c>
      <c r="I106" s="17">
        <v>1.51</v>
      </c>
      <c r="J106" s="17">
        <v>14.26</v>
      </c>
      <c r="K106" s="18">
        <v>55.8</v>
      </c>
      <c r="L106" s="18">
        <v>5.8</v>
      </c>
      <c r="M106" s="18">
        <v>16</v>
      </c>
    </row>
    <row r="107" spans="1:13" ht="15.75" customHeight="1" x14ac:dyDescent="0.3">
      <c r="A107" s="14">
        <v>105</v>
      </c>
      <c r="B107" s="25" t="s">
        <v>360</v>
      </c>
      <c r="C107" s="15">
        <v>57</v>
      </c>
      <c r="D107" s="15" t="s">
        <v>24</v>
      </c>
      <c r="E107" s="15"/>
      <c r="F107" s="15">
        <v>1</v>
      </c>
      <c r="G107" s="25" t="s">
        <v>19</v>
      </c>
      <c r="H107" s="17">
        <v>0.71</v>
      </c>
      <c r="I107" s="17">
        <v>0.68</v>
      </c>
      <c r="J107" s="17">
        <v>14.85</v>
      </c>
      <c r="K107" s="18">
        <v>85.7</v>
      </c>
      <c r="L107" s="18">
        <v>21.4</v>
      </c>
      <c r="M107" s="18">
        <v>19</v>
      </c>
    </row>
    <row r="108" spans="1:13" ht="15.75" customHeight="1" x14ac:dyDescent="0.3">
      <c r="A108" s="26">
        <v>106</v>
      </c>
      <c r="B108" s="20" t="s">
        <v>361</v>
      </c>
      <c r="C108" s="21">
        <v>38</v>
      </c>
      <c r="D108" s="29" t="s">
        <v>24</v>
      </c>
      <c r="E108" s="29" t="s">
        <v>24</v>
      </c>
      <c r="F108" s="21">
        <v>1</v>
      </c>
      <c r="G108" s="20" t="s">
        <v>25</v>
      </c>
      <c r="H108" s="22">
        <v>0.59</v>
      </c>
      <c r="I108" s="22">
        <v>0.49</v>
      </c>
      <c r="J108" s="22">
        <v>10.15</v>
      </c>
      <c r="K108" s="23">
        <v>100</v>
      </c>
      <c r="L108" s="23">
        <v>14.3</v>
      </c>
      <c r="M108" s="23">
        <v>16</v>
      </c>
    </row>
    <row r="109" spans="1:13" ht="15.75" customHeight="1" x14ac:dyDescent="0.3">
      <c r="A109" s="26">
        <v>107</v>
      </c>
      <c r="B109" s="20" t="s">
        <v>181</v>
      </c>
      <c r="C109" s="21">
        <v>64</v>
      </c>
      <c r="D109" s="29" t="s">
        <v>24</v>
      </c>
      <c r="E109" s="29" t="s">
        <v>24</v>
      </c>
      <c r="F109" s="21">
        <v>1</v>
      </c>
      <c r="G109" s="20" t="s">
        <v>25</v>
      </c>
      <c r="H109" s="22">
        <v>0.7</v>
      </c>
      <c r="I109" s="22">
        <v>0.68</v>
      </c>
      <c r="J109" s="22">
        <v>2.31</v>
      </c>
      <c r="K109" s="23">
        <v>97.4</v>
      </c>
      <c r="L109" s="23">
        <v>30.8</v>
      </c>
      <c r="M109" s="23">
        <v>14</v>
      </c>
    </row>
    <row r="110" spans="1:13" ht="15.75" customHeight="1" x14ac:dyDescent="0.3">
      <c r="A110" s="14">
        <v>108</v>
      </c>
      <c r="B110" s="25" t="s">
        <v>362</v>
      </c>
      <c r="C110" s="24">
        <v>69</v>
      </c>
      <c r="D110" s="24">
        <v>3</v>
      </c>
      <c r="E110" s="24">
        <v>3</v>
      </c>
      <c r="F110" s="15">
        <v>1</v>
      </c>
      <c r="G110" s="25" t="s">
        <v>19</v>
      </c>
      <c r="H110" s="17">
        <v>0.38</v>
      </c>
      <c r="I110" s="17">
        <v>0.55000000000000004</v>
      </c>
      <c r="J110" s="17">
        <v>3.98</v>
      </c>
      <c r="K110" s="18">
        <v>69</v>
      </c>
      <c r="L110" s="18">
        <v>24.1</v>
      </c>
      <c r="M110" s="18">
        <v>20</v>
      </c>
    </row>
    <row r="111" spans="1:13" ht="15.75" customHeight="1" x14ac:dyDescent="0.3">
      <c r="A111" s="26">
        <v>109</v>
      </c>
      <c r="B111" s="20" t="s">
        <v>363</v>
      </c>
      <c r="C111" s="21">
        <v>66</v>
      </c>
      <c r="D111" s="29" t="s">
        <v>24</v>
      </c>
      <c r="E111" s="29" t="s">
        <v>24</v>
      </c>
      <c r="F111" s="21">
        <v>1</v>
      </c>
      <c r="G111" s="20" t="s">
        <v>25</v>
      </c>
      <c r="H111" s="22">
        <v>0.64</v>
      </c>
      <c r="I111" s="22">
        <v>0.68</v>
      </c>
      <c r="J111" s="22">
        <v>2.12</v>
      </c>
      <c r="K111" s="23">
        <v>72.7</v>
      </c>
      <c r="L111" s="23">
        <v>18.2</v>
      </c>
      <c r="M111" s="23">
        <v>27</v>
      </c>
    </row>
    <row r="112" spans="1:13" ht="15.75" customHeight="1" x14ac:dyDescent="0.3">
      <c r="A112" s="13"/>
      <c r="B112" s="94"/>
      <c r="C112" s="95"/>
      <c r="D112" s="96"/>
      <c r="E112" s="96"/>
      <c r="F112" s="95"/>
      <c r="G112" s="94"/>
      <c r="H112" s="31"/>
      <c r="I112" s="31"/>
      <c r="J112" s="31"/>
      <c r="K112" s="31"/>
      <c r="L112" s="31"/>
      <c r="M112" s="31"/>
    </row>
    <row r="113" spans="1:13" ht="15.75" customHeight="1" x14ac:dyDescent="0.3">
      <c r="A113" s="13"/>
      <c r="B113" s="94"/>
      <c r="C113" s="95"/>
      <c r="D113" s="96"/>
      <c r="E113" s="96"/>
      <c r="F113" s="95"/>
      <c r="G113" s="94"/>
      <c r="H113" s="31"/>
      <c r="I113" s="31"/>
      <c r="J113" s="31"/>
      <c r="K113" s="31"/>
      <c r="L113" s="31"/>
      <c r="M113" s="31"/>
    </row>
    <row r="114" spans="1:13" ht="15.75" customHeight="1" x14ac:dyDescent="0.3">
      <c r="A114" s="97" t="s">
        <v>136</v>
      </c>
      <c r="B114" s="30"/>
      <c r="C114" s="30"/>
      <c r="D114" s="30"/>
      <c r="E114" s="30"/>
      <c r="F114" s="30"/>
      <c r="G114" s="30"/>
      <c r="H114" s="31"/>
      <c r="I114" s="36"/>
      <c r="J114" s="15"/>
      <c r="K114" s="31"/>
      <c r="L114" s="31"/>
      <c r="M114" s="31"/>
    </row>
    <row r="115" spans="1:13" ht="15.75" customHeight="1" x14ac:dyDescent="0.3">
      <c r="A115" s="98"/>
      <c r="B115" s="37" t="s">
        <v>155</v>
      </c>
      <c r="C115" s="15"/>
      <c r="D115" s="99"/>
      <c r="E115" s="99"/>
      <c r="F115" s="99"/>
      <c r="G115" s="40" t="s">
        <v>139</v>
      </c>
      <c r="H115" s="28"/>
      <c r="I115" s="15"/>
      <c r="J115" s="15"/>
      <c r="K115" s="28"/>
      <c r="L115" s="28"/>
      <c r="M115" s="28"/>
    </row>
    <row r="116" spans="1:13" ht="15.75" customHeight="1" x14ac:dyDescent="0.3">
      <c r="A116" s="100"/>
      <c r="B116" s="37" t="s">
        <v>364</v>
      </c>
      <c r="C116" s="15"/>
      <c r="D116" s="99"/>
      <c r="E116" s="99"/>
      <c r="F116" s="99"/>
      <c r="G116" s="40" t="s">
        <v>139</v>
      </c>
      <c r="H116" s="28"/>
      <c r="I116" s="15"/>
      <c r="J116" s="15"/>
      <c r="K116" s="28"/>
      <c r="L116" s="28"/>
      <c r="M116" s="28"/>
    </row>
    <row r="117" spans="1:13" ht="15.75" customHeight="1" x14ac:dyDescent="0.3">
      <c r="A117" s="100"/>
      <c r="B117" s="37" t="s">
        <v>157</v>
      </c>
      <c r="C117" s="15"/>
      <c r="D117" s="99"/>
      <c r="E117" s="99"/>
      <c r="F117" s="101"/>
      <c r="G117" s="40" t="s">
        <v>139</v>
      </c>
      <c r="H117" s="28"/>
      <c r="I117" s="28"/>
      <c r="J117" s="28"/>
      <c r="K117" s="28"/>
      <c r="L117" s="28"/>
      <c r="M117" s="28"/>
    </row>
    <row r="118" spans="1:13" ht="15.75" customHeight="1" x14ac:dyDescent="0.3">
      <c r="A118" s="13"/>
      <c r="B118" s="37" t="s">
        <v>156</v>
      </c>
      <c r="C118" s="99"/>
      <c r="D118" s="99"/>
      <c r="E118" s="99"/>
      <c r="F118" s="99"/>
      <c r="G118" s="40" t="s">
        <v>139</v>
      </c>
      <c r="H118" s="15"/>
      <c r="I118" s="15"/>
      <c r="J118" s="15"/>
      <c r="K118" s="15"/>
      <c r="L118" s="15"/>
      <c r="M118" s="15"/>
    </row>
    <row r="119" spans="1:13" ht="15.75" customHeight="1" x14ac:dyDescent="0.3">
      <c r="A119" s="13"/>
      <c r="B119" s="37" t="s">
        <v>148</v>
      </c>
      <c r="C119" s="99"/>
      <c r="D119" s="99"/>
      <c r="E119" s="99"/>
      <c r="F119" s="99"/>
      <c r="G119" s="40" t="s">
        <v>139</v>
      </c>
      <c r="H119" s="15"/>
      <c r="I119" s="15"/>
      <c r="J119" s="15"/>
      <c r="K119" s="15"/>
      <c r="L119" s="15"/>
      <c r="M119" s="15"/>
    </row>
    <row r="120" spans="1:13" ht="15.75" customHeight="1" x14ac:dyDescent="0.3">
      <c r="A120" s="13"/>
      <c r="B120" s="37" t="s">
        <v>295</v>
      </c>
      <c r="C120" s="99"/>
      <c r="D120" s="99"/>
      <c r="E120" s="99"/>
      <c r="F120" s="99"/>
      <c r="G120" s="40" t="s">
        <v>139</v>
      </c>
      <c r="H120" s="15"/>
      <c r="I120" s="15"/>
      <c r="J120" s="15"/>
      <c r="K120" s="15"/>
      <c r="L120" s="15"/>
      <c r="M120" s="15"/>
    </row>
    <row r="121" spans="1:13" ht="15.75" customHeight="1" x14ac:dyDescent="0.3">
      <c r="A121" s="13"/>
      <c r="B121" s="37" t="s">
        <v>365</v>
      </c>
      <c r="C121" s="99"/>
      <c r="D121" s="99"/>
      <c r="E121" s="99"/>
      <c r="F121" s="99"/>
      <c r="G121" s="40" t="s">
        <v>139</v>
      </c>
      <c r="H121" s="15"/>
      <c r="I121" s="15"/>
      <c r="J121" s="15"/>
      <c r="K121" s="15"/>
      <c r="L121" s="15"/>
      <c r="M121" s="15"/>
    </row>
    <row r="122" spans="1:13" ht="15.75" customHeight="1" x14ac:dyDescent="0.3">
      <c r="A122" s="13"/>
      <c r="B122" s="37" t="s">
        <v>366</v>
      </c>
      <c r="C122" s="15"/>
      <c r="D122" s="99"/>
      <c r="E122" s="99"/>
      <c r="F122" s="99"/>
      <c r="G122" s="40" t="s">
        <v>139</v>
      </c>
      <c r="H122" s="15"/>
      <c r="I122" s="15"/>
      <c r="J122" s="15"/>
      <c r="K122" s="15"/>
      <c r="L122" s="15"/>
      <c r="M122" s="15"/>
    </row>
    <row r="123" spans="1:13" ht="15.75" customHeight="1" x14ac:dyDescent="0.3">
      <c r="A123" s="13"/>
      <c r="B123" s="37" t="s">
        <v>140</v>
      </c>
      <c r="C123" s="99"/>
      <c r="D123" s="99"/>
      <c r="E123" s="99"/>
      <c r="F123" s="99"/>
      <c r="G123" s="40" t="s">
        <v>139</v>
      </c>
      <c r="H123" s="15"/>
      <c r="I123" s="15"/>
      <c r="J123" s="15"/>
      <c r="K123" s="15"/>
      <c r="L123" s="15"/>
      <c r="M123" s="15"/>
    </row>
    <row r="124" spans="1:13" ht="15.75" customHeight="1" x14ac:dyDescent="0.3">
      <c r="A124" s="13"/>
      <c r="B124" s="37" t="s">
        <v>164</v>
      </c>
      <c r="C124" s="99"/>
      <c r="D124" s="99"/>
      <c r="E124" s="99"/>
      <c r="F124" s="99"/>
      <c r="G124" s="40" t="s">
        <v>139</v>
      </c>
      <c r="H124" s="15"/>
      <c r="I124" s="15"/>
      <c r="J124" s="15"/>
      <c r="K124" s="15"/>
      <c r="L124" s="15"/>
      <c r="M124" s="15"/>
    </row>
    <row r="125" spans="1:13" ht="15.75" customHeight="1" x14ac:dyDescent="0.3">
      <c r="A125" s="13"/>
      <c r="B125" s="37" t="s">
        <v>299</v>
      </c>
      <c r="C125" s="99"/>
      <c r="D125" s="99"/>
      <c r="E125" s="99"/>
      <c r="F125" s="99"/>
      <c r="G125" s="40" t="s">
        <v>139</v>
      </c>
      <c r="H125" s="15"/>
      <c r="I125" s="15"/>
      <c r="J125" s="15"/>
      <c r="K125" s="15"/>
      <c r="L125" s="15"/>
      <c r="M125" s="15"/>
    </row>
    <row r="126" spans="1:13" ht="15.75" customHeight="1" x14ac:dyDescent="0.3">
      <c r="A126" s="13"/>
      <c r="B126" s="37" t="s">
        <v>151</v>
      </c>
      <c r="C126" s="99"/>
      <c r="D126" s="99"/>
      <c r="E126" s="99"/>
      <c r="F126" s="99"/>
      <c r="G126" s="40" t="s">
        <v>139</v>
      </c>
      <c r="H126" s="15"/>
      <c r="I126" s="15"/>
      <c r="J126" s="15"/>
      <c r="K126" s="15"/>
      <c r="L126" s="15"/>
      <c r="M126" s="15"/>
    </row>
    <row r="127" spans="1:13" ht="15.75" customHeight="1" x14ac:dyDescent="0.3">
      <c r="A127" s="13"/>
      <c r="B127" s="37" t="s">
        <v>153</v>
      </c>
      <c r="C127" s="102"/>
      <c r="D127" s="102"/>
      <c r="E127" s="102"/>
      <c r="F127" s="99"/>
      <c r="G127" s="40" t="s">
        <v>139</v>
      </c>
      <c r="H127" s="15"/>
      <c r="I127" s="15"/>
      <c r="J127" s="15"/>
      <c r="K127" s="15"/>
      <c r="L127" s="15"/>
      <c r="M127" s="15"/>
    </row>
    <row r="128" spans="1:13" ht="15.75" customHeight="1" x14ac:dyDescent="0.3">
      <c r="A128" s="13"/>
      <c r="B128" s="37" t="s">
        <v>367</v>
      </c>
      <c r="C128" s="99"/>
      <c r="D128" s="99"/>
      <c r="E128" s="99"/>
      <c r="F128" s="99"/>
      <c r="G128" s="40" t="s">
        <v>139</v>
      </c>
      <c r="H128" s="15"/>
      <c r="I128" s="15"/>
      <c r="J128" s="15"/>
      <c r="K128" s="15"/>
      <c r="L128" s="15"/>
      <c r="M128" s="15"/>
    </row>
    <row r="129" spans="1:13" ht="15.75" customHeight="1" x14ac:dyDescent="0.3">
      <c r="A129" s="13"/>
      <c r="B129" s="37" t="s">
        <v>368</v>
      </c>
      <c r="C129" s="99"/>
      <c r="D129" s="99"/>
      <c r="E129" s="99"/>
      <c r="F129" s="99"/>
      <c r="G129" s="40" t="s">
        <v>139</v>
      </c>
      <c r="H129" s="15"/>
      <c r="I129" s="15"/>
      <c r="J129" s="15"/>
      <c r="K129" s="15"/>
      <c r="L129" s="15"/>
      <c r="M129" s="15"/>
    </row>
    <row r="130" spans="1:13" ht="15.75" customHeight="1" x14ac:dyDescent="0.3">
      <c r="A130" s="13"/>
      <c r="B130" s="37" t="s">
        <v>154</v>
      </c>
      <c r="C130" s="99"/>
      <c r="D130" s="99"/>
      <c r="E130" s="99"/>
      <c r="F130" s="99"/>
      <c r="G130" s="40" t="s">
        <v>139</v>
      </c>
      <c r="H130" s="15"/>
      <c r="I130" s="15"/>
      <c r="J130" s="15"/>
      <c r="K130" s="15"/>
      <c r="L130" s="15"/>
      <c r="M130" s="15"/>
    </row>
    <row r="131" spans="1:13" ht="15.75" customHeight="1" x14ac:dyDescent="0.3">
      <c r="A131" s="13"/>
      <c r="B131" s="37" t="s">
        <v>369</v>
      </c>
      <c r="C131" s="99"/>
      <c r="D131" s="99"/>
      <c r="E131" s="99"/>
      <c r="F131" s="99"/>
      <c r="G131" s="40" t="s">
        <v>139</v>
      </c>
      <c r="H131" s="15"/>
      <c r="I131" s="15"/>
      <c r="J131" s="15"/>
      <c r="K131" s="15"/>
      <c r="L131" s="15"/>
      <c r="M131" s="15"/>
    </row>
    <row r="132" spans="1:13" ht="15.75" customHeight="1" x14ac:dyDescent="0.3">
      <c r="A132" s="13"/>
      <c r="B132" s="37" t="s">
        <v>150</v>
      </c>
      <c r="C132" s="99"/>
      <c r="D132" s="99"/>
      <c r="E132" s="99"/>
      <c r="F132" s="99"/>
      <c r="G132" s="40" t="s">
        <v>139</v>
      </c>
      <c r="H132" s="15"/>
      <c r="I132" s="15"/>
      <c r="J132" s="15"/>
      <c r="K132" s="15"/>
      <c r="L132" s="15"/>
      <c r="M132" s="15"/>
    </row>
    <row r="133" spans="1:13" ht="15.75" customHeight="1" x14ac:dyDescent="0.3">
      <c r="A133" s="13"/>
      <c r="B133" s="37" t="s">
        <v>149</v>
      </c>
      <c r="C133" s="99"/>
      <c r="D133" s="99"/>
      <c r="E133" s="99"/>
      <c r="F133" s="99"/>
      <c r="G133" s="40" t="s">
        <v>139</v>
      </c>
      <c r="H133" s="15"/>
      <c r="I133" s="15"/>
      <c r="J133" s="15"/>
      <c r="K133" s="15"/>
      <c r="L133" s="15"/>
      <c r="M133" s="15"/>
    </row>
    <row r="134" spans="1:13" ht="15.75" customHeight="1" x14ac:dyDescent="0.3">
      <c r="A134" s="13"/>
      <c r="B134" s="37" t="s">
        <v>370</v>
      </c>
      <c r="C134" s="99"/>
      <c r="D134" s="99"/>
      <c r="E134" s="99"/>
      <c r="F134" s="99"/>
      <c r="G134" s="40" t="s">
        <v>139</v>
      </c>
      <c r="H134" s="15"/>
      <c r="I134" s="15"/>
      <c r="J134" s="15"/>
      <c r="K134" s="15"/>
      <c r="L134" s="15"/>
      <c r="M134" s="15"/>
    </row>
    <row r="135" spans="1:13" ht="15.75" customHeight="1" x14ac:dyDescent="0.3">
      <c r="A135" s="13"/>
      <c r="B135" s="37" t="s">
        <v>138</v>
      </c>
      <c r="C135" s="99"/>
      <c r="D135" s="15"/>
      <c r="E135" s="99"/>
      <c r="F135" s="99"/>
      <c r="G135" s="40" t="s">
        <v>139</v>
      </c>
      <c r="H135" s="15"/>
      <c r="I135" s="15"/>
      <c r="J135" s="15"/>
      <c r="K135" s="15"/>
      <c r="L135" s="15"/>
      <c r="M135" s="15"/>
    </row>
    <row r="136" spans="1:13" ht="15.75" customHeight="1" x14ac:dyDescent="0.3">
      <c r="A136" s="13"/>
      <c r="B136" s="37" t="s">
        <v>293</v>
      </c>
      <c r="C136" s="99"/>
      <c r="D136" s="15"/>
      <c r="E136" s="99"/>
      <c r="F136" s="99"/>
      <c r="G136" s="40" t="s">
        <v>139</v>
      </c>
      <c r="H136" s="15"/>
      <c r="I136" s="15"/>
      <c r="J136" s="15"/>
      <c r="K136" s="15"/>
      <c r="L136" s="15"/>
      <c r="M136" s="15"/>
    </row>
    <row r="137" spans="1:13" ht="15.75" customHeight="1" x14ac:dyDescent="0.3">
      <c r="A137" s="100"/>
      <c r="B137" s="37" t="s">
        <v>143</v>
      </c>
      <c r="C137" s="15"/>
      <c r="D137" s="99"/>
      <c r="E137" s="99"/>
      <c r="F137" s="99"/>
      <c r="G137" s="40" t="s">
        <v>139</v>
      </c>
      <c r="H137" s="28"/>
      <c r="I137" s="28"/>
      <c r="J137" s="28"/>
      <c r="K137" s="28"/>
      <c r="L137" s="28"/>
      <c r="M137" s="28"/>
    </row>
    <row r="138" spans="1:13" ht="15.75" customHeight="1" x14ac:dyDescent="0.3">
      <c r="A138" s="100"/>
      <c r="B138" s="37" t="s">
        <v>144</v>
      </c>
      <c r="C138" s="15"/>
      <c r="D138" s="99"/>
      <c r="E138" s="99"/>
      <c r="F138" s="99"/>
      <c r="G138" s="40" t="s">
        <v>139</v>
      </c>
      <c r="H138" s="28"/>
      <c r="I138" s="28"/>
      <c r="J138" s="28"/>
      <c r="K138" s="28"/>
      <c r="L138" s="28"/>
      <c r="M138" s="28"/>
    </row>
    <row r="139" spans="1:13" ht="15.75" customHeight="1" x14ac:dyDescent="0.3">
      <c r="A139" s="13"/>
      <c r="B139" s="37" t="s">
        <v>371</v>
      </c>
      <c r="C139" s="99"/>
      <c r="D139" s="15"/>
      <c r="E139" s="99"/>
      <c r="F139" s="99"/>
      <c r="G139" s="40" t="s">
        <v>139</v>
      </c>
      <c r="H139" s="15"/>
      <c r="I139" s="15"/>
      <c r="J139" s="15"/>
      <c r="K139" s="15"/>
      <c r="L139" s="15"/>
      <c r="M139" s="15"/>
    </row>
    <row r="140" spans="1:13" ht="15.75" customHeight="1" x14ac:dyDescent="0.3">
      <c r="A140" s="13"/>
      <c r="B140" s="37" t="s">
        <v>145</v>
      </c>
      <c r="C140" s="99"/>
      <c r="D140" s="15"/>
      <c r="E140" s="99"/>
      <c r="F140" s="99"/>
      <c r="G140" s="40" t="s">
        <v>139</v>
      </c>
      <c r="H140" s="15"/>
      <c r="I140" s="15"/>
      <c r="J140" s="15"/>
      <c r="K140" s="15"/>
      <c r="L140" s="15"/>
      <c r="M140" s="15"/>
    </row>
    <row r="141" spans="1:13" ht="15.75" customHeight="1" x14ac:dyDescent="0.3">
      <c r="A141" s="13"/>
      <c r="B141" s="37" t="s">
        <v>372</v>
      </c>
      <c r="C141" s="99"/>
      <c r="D141" s="15"/>
      <c r="E141" s="99"/>
      <c r="F141" s="99"/>
      <c r="G141" s="40" t="s">
        <v>139</v>
      </c>
      <c r="H141" s="15"/>
      <c r="I141" s="15"/>
      <c r="J141" s="15"/>
      <c r="K141" s="15"/>
      <c r="L141" s="15"/>
      <c r="M141" s="15"/>
    </row>
    <row r="142" spans="1:13" ht="15.75" customHeight="1" x14ac:dyDescent="0.3">
      <c r="A142" s="13"/>
      <c r="B142" s="37" t="s">
        <v>141</v>
      </c>
      <c r="C142" s="99"/>
      <c r="D142" s="15"/>
      <c r="E142" s="99"/>
      <c r="F142" s="99"/>
      <c r="G142" s="40" t="s">
        <v>139</v>
      </c>
      <c r="H142" s="15"/>
      <c r="I142" s="15"/>
      <c r="J142" s="15"/>
      <c r="K142" s="15"/>
      <c r="L142" s="15"/>
      <c r="M142" s="15"/>
    </row>
    <row r="143" spans="1:13" ht="15.75" customHeight="1" x14ac:dyDescent="0.3">
      <c r="A143" s="13"/>
      <c r="B143" s="37" t="s">
        <v>159</v>
      </c>
      <c r="C143" s="99"/>
      <c r="D143" s="15"/>
      <c r="E143" s="99"/>
      <c r="F143" s="99"/>
      <c r="G143" s="40" t="s">
        <v>139</v>
      </c>
      <c r="H143" s="15"/>
      <c r="I143" s="15"/>
      <c r="J143" s="15"/>
      <c r="K143" s="15"/>
      <c r="L143" s="15"/>
      <c r="M143" s="15"/>
    </row>
    <row r="144" spans="1:13" ht="15.75" customHeight="1" x14ac:dyDescent="0.3">
      <c r="A144" s="13"/>
      <c r="B144" s="37" t="s">
        <v>373</v>
      </c>
      <c r="C144" s="99"/>
      <c r="D144" s="99"/>
      <c r="E144" s="99"/>
      <c r="F144" s="99"/>
      <c r="G144" s="40" t="s">
        <v>139</v>
      </c>
      <c r="H144" s="15"/>
      <c r="I144" s="15"/>
      <c r="J144" s="15"/>
      <c r="K144" s="15"/>
      <c r="L144" s="15"/>
      <c r="M144" s="15"/>
    </row>
    <row r="145" spans="1:13" ht="15.75" customHeight="1" x14ac:dyDescent="0.3">
      <c r="A145" s="13"/>
      <c r="B145" s="37" t="s">
        <v>147</v>
      </c>
      <c r="C145" s="99"/>
      <c r="D145" s="15"/>
      <c r="E145" s="99"/>
      <c r="F145" s="99"/>
      <c r="G145" s="40" t="s">
        <v>139</v>
      </c>
      <c r="H145" s="15"/>
      <c r="I145" s="15"/>
      <c r="J145" s="15"/>
      <c r="K145" s="15"/>
      <c r="L145" s="15"/>
      <c r="M145" s="15"/>
    </row>
    <row r="146" spans="1:13" ht="15.75" customHeight="1" x14ac:dyDescent="0.3">
      <c r="A146" s="13"/>
      <c r="B146" s="37" t="s">
        <v>158</v>
      </c>
      <c r="C146" s="99"/>
      <c r="D146" s="15"/>
      <c r="E146" s="99"/>
      <c r="F146" s="99"/>
      <c r="G146" s="40" t="s">
        <v>139</v>
      </c>
      <c r="H146" s="15"/>
      <c r="I146" s="15"/>
      <c r="J146" s="15"/>
      <c r="K146" s="15"/>
      <c r="L146" s="15"/>
      <c r="M146" s="15"/>
    </row>
    <row r="147" spans="1:13" ht="15.75" customHeight="1" x14ac:dyDescent="0.3">
      <c r="A147" s="13"/>
      <c r="B147" s="37" t="s">
        <v>374</v>
      </c>
      <c r="C147" s="99"/>
      <c r="D147" s="15"/>
      <c r="E147" s="99"/>
      <c r="F147" s="99"/>
      <c r="G147" s="40" t="s">
        <v>161</v>
      </c>
      <c r="H147" s="15"/>
      <c r="I147" s="15"/>
      <c r="J147" s="15"/>
      <c r="K147" s="15"/>
      <c r="L147" s="15"/>
      <c r="M147" s="15"/>
    </row>
    <row r="148" spans="1:13" ht="15.75" customHeight="1" x14ac:dyDescent="0.3">
      <c r="A148" s="13"/>
      <c r="B148" s="37" t="s">
        <v>375</v>
      </c>
      <c r="C148" s="99"/>
      <c r="D148" s="15"/>
      <c r="E148" s="99"/>
      <c r="F148" s="99"/>
      <c r="G148" s="40" t="s">
        <v>161</v>
      </c>
      <c r="H148" s="15"/>
      <c r="I148" s="15"/>
      <c r="J148" s="15"/>
      <c r="K148" s="15"/>
      <c r="L148" s="15"/>
      <c r="M148" s="15"/>
    </row>
    <row r="149" spans="1:13" ht="15.75" customHeight="1" x14ac:dyDescent="0.3">
      <c r="A149" s="100"/>
      <c r="B149" s="37" t="s">
        <v>231</v>
      </c>
      <c r="C149" s="15"/>
      <c r="D149" s="99"/>
      <c r="E149" s="99"/>
      <c r="F149" s="99"/>
      <c r="G149" s="75" t="s">
        <v>165</v>
      </c>
      <c r="H149" s="28"/>
      <c r="I149" s="28"/>
      <c r="J149" s="28"/>
      <c r="K149" s="28"/>
      <c r="L149" s="28"/>
      <c r="M149" s="28"/>
    </row>
    <row r="150" spans="1:13" ht="15.75" customHeight="1" x14ac:dyDescent="0.3">
      <c r="A150" s="13"/>
      <c r="B150" s="37" t="s">
        <v>166</v>
      </c>
      <c r="C150" s="15"/>
      <c r="D150" s="15"/>
      <c r="E150" s="99"/>
      <c r="F150" s="99"/>
      <c r="G150" s="75" t="s">
        <v>165</v>
      </c>
      <c r="H150" s="15"/>
      <c r="I150" s="15"/>
      <c r="J150" s="15"/>
      <c r="K150" s="15"/>
      <c r="L150" s="15"/>
      <c r="M150" s="15"/>
    </row>
    <row r="151" spans="1:13" ht="15.75" customHeight="1" x14ac:dyDescent="0.3">
      <c r="A151" s="13"/>
      <c r="B151" s="37" t="s">
        <v>376</v>
      </c>
      <c r="C151" s="15"/>
      <c r="D151" s="15"/>
      <c r="E151" s="15"/>
      <c r="F151" s="15"/>
      <c r="G151" s="40" t="s">
        <v>171</v>
      </c>
      <c r="H151" s="15"/>
      <c r="I151" s="15"/>
      <c r="J151" s="15"/>
      <c r="K151" s="15"/>
      <c r="L151" s="15"/>
      <c r="M151" s="15"/>
    </row>
    <row r="152" spans="1:13" ht="15.75" customHeight="1" x14ac:dyDescent="0.3">
      <c r="A152" s="100"/>
      <c r="B152" s="37" t="s">
        <v>377</v>
      </c>
      <c r="C152" s="99"/>
      <c r="D152" s="99"/>
      <c r="E152" s="99"/>
      <c r="F152" s="99"/>
      <c r="G152" s="40" t="s">
        <v>173</v>
      </c>
      <c r="H152" s="49">
        <v>1.45</v>
      </c>
      <c r="I152" s="28"/>
      <c r="J152" s="49">
        <v>0</v>
      </c>
      <c r="K152" s="28"/>
      <c r="L152" s="28"/>
      <c r="M152" s="28"/>
    </row>
    <row r="153" spans="1:13" ht="15.75" customHeight="1" x14ac:dyDescent="0.3">
      <c r="A153" s="103"/>
      <c r="B153" s="37" t="s">
        <v>377</v>
      </c>
      <c r="C153" s="99"/>
      <c r="D153" s="102"/>
      <c r="E153" s="102"/>
      <c r="F153" s="99"/>
      <c r="G153" s="40" t="s">
        <v>173</v>
      </c>
      <c r="H153" s="49">
        <v>1.45</v>
      </c>
      <c r="I153" s="28"/>
      <c r="J153" s="49">
        <v>0</v>
      </c>
      <c r="K153" s="28"/>
      <c r="L153" s="28"/>
      <c r="M153" s="28"/>
    </row>
    <row r="154" spans="1:13" ht="15.75" customHeight="1" x14ac:dyDescent="0.3">
      <c r="H154" s="31"/>
      <c r="I154" s="31"/>
      <c r="J154" s="31"/>
      <c r="K154" s="31"/>
      <c r="L154" s="31"/>
      <c r="M154" s="31"/>
    </row>
    <row r="155" spans="1:13" ht="15.75" customHeight="1" x14ac:dyDescent="0.3">
      <c r="H155" s="31"/>
      <c r="I155" s="31"/>
      <c r="J155" s="31"/>
      <c r="K155" s="31"/>
      <c r="L155" s="31"/>
      <c r="M155" s="31"/>
    </row>
    <row r="156" spans="1:13" ht="15.75" customHeight="1" x14ac:dyDescent="0.3">
      <c r="H156" s="31"/>
      <c r="I156" s="31"/>
      <c r="J156" s="31"/>
      <c r="K156" s="31"/>
      <c r="L156" s="31"/>
      <c r="M156" s="31"/>
    </row>
    <row r="157" spans="1:13" ht="15.75" customHeight="1" x14ac:dyDescent="0.3">
      <c r="H157" s="31"/>
      <c r="I157" s="31"/>
      <c r="J157" s="31"/>
      <c r="K157" s="31"/>
      <c r="L157" s="31"/>
      <c r="M157" s="31"/>
    </row>
    <row r="158" spans="1:13" ht="15.75" customHeight="1" x14ac:dyDescent="0.3">
      <c r="H158" s="31"/>
      <c r="I158" s="31"/>
      <c r="J158" s="31"/>
      <c r="K158" s="31"/>
      <c r="L158" s="31"/>
      <c r="M158" s="31"/>
    </row>
    <row r="159" spans="1:13" ht="15.75" customHeight="1" x14ac:dyDescent="0.3">
      <c r="H159" s="31"/>
      <c r="I159" s="31"/>
      <c r="J159" s="31"/>
      <c r="K159" s="31"/>
      <c r="L159" s="31"/>
      <c r="M159" s="31"/>
    </row>
    <row r="160" spans="1:13" ht="15.75" customHeight="1" x14ac:dyDescent="0.3">
      <c r="H160" s="31"/>
      <c r="I160" s="31"/>
      <c r="J160" s="31"/>
      <c r="K160" s="31"/>
      <c r="L160" s="31"/>
      <c r="M160" s="31"/>
    </row>
    <row r="161" spans="8:13" ht="15.75" customHeight="1" x14ac:dyDescent="0.3">
      <c r="H161" s="31"/>
      <c r="I161" s="31"/>
      <c r="J161" s="31"/>
      <c r="K161" s="31"/>
      <c r="L161" s="31"/>
      <c r="M161" s="31"/>
    </row>
    <row r="162" spans="8:13" ht="15.75" customHeight="1" x14ac:dyDescent="0.3">
      <c r="H162" s="31"/>
      <c r="I162" s="31"/>
      <c r="J162" s="31"/>
      <c r="K162" s="31"/>
      <c r="L162" s="31"/>
      <c r="M162" s="31"/>
    </row>
    <row r="163" spans="8:13" ht="15.75" customHeight="1" x14ac:dyDescent="0.3">
      <c r="H163" s="31"/>
      <c r="I163" s="31"/>
      <c r="J163" s="31"/>
      <c r="K163" s="31"/>
      <c r="L163" s="31"/>
      <c r="M163" s="31"/>
    </row>
    <row r="164" spans="8:13" ht="15.75" customHeight="1" x14ac:dyDescent="0.3">
      <c r="H164" s="31"/>
      <c r="I164" s="31"/>
      <c r="J164" s="31"/>
      <c r="K164" s="31"/>
      <c r="L164" s="31"/>
      <c r="M164" s="31"/>
    </row>
    <row r="165" spans="8:13" ht="15.75" customHeight="1" x14ac:dyDescent="0.3">
      <c r="H165" s="31"/>
      <c r="I165" s="31"/>
      <c r="J165" s="31"/>
      <c r="K165" s="31"/>
      <c r="L165" s="31"/>
      <c r="M165" s="31"/>
    </row>
    <row r="166" spans="8:13" ht="15.75" customHeight="1" x14ac:dyDescent="0.3">
      <c r="H166" s="31"/>
      <c r="I166" s="31"/>
      <c r="J166" s="31"/>
      <c r="K166" s="31"/>
      <c r="L166" s="31"/>
      <c r="M166" s="31"/>
    </row>
    <row r="167" spans="8:13" ht="15.75" customHeight="1" x14ac:dyDescent="0.3">
      <c r="H167" s="31"/>
      <c r="I167" s="31"/>
      <c r="J167" s="31"/>
      <c r="K167" s="31"/>
      <c r="L167" s="31"/>
      <c r="M167" s="31"/>
    </row>
    <row r="168" spans="8:13" ht="15.75" customHeight="1" x14ac:dyDescent="0.3">
      <c r="H168" s="31"/>
      <c r="I168" s="31"/>
      <c r="J168" s="31"/>
      <c r="K168" s="31"/>
      <c r="L168" s="31"/>
      <c r="M168" s="31"/>
    </row>
    <row r="169" spans="8:13" ht="15.75" customHeight="1" x14ac:dyDescent="0.3">
      <c r="H169" s="31"/>
      <c r="I169" s="31"/>
      <c r="J169" s="31"/>
      <c r="K169" s="31"/>
      <c r="L169" s="31"/>
      <c r="M169" s="31"/>
    </row>
    <row r="170" spans="8:13" ht="15.75" customHeight="1" x14ac:dyDescent="0.3">
      <c r="H170" s="31"/>
      <c r="I170" s="31"/>
      <c r="J170" s="31"/>
      <c r="K170" s="31"/>
      <c r="L170" s="31"/>
      <c r="M170" s="31"/>
    </row>
    <row r="171" spans="8:13" ht="15.75" customHeight="1" x14ac:dyDescent="0.3">
      <c r="H171" s="31"/>
      <c r="I171" s="31"/>
      <c r="J171" s="31"/>
      <c r="K171" s="31"/>
      <c r="L171" s="31"/>
      <c r="M171" s="31"/>
    </row>
    <row r="172" spans="8:13" ht="15.75" customHeight="1" x14ac:dyDescent="0.3">
      <c r="H172" s="31"/>
      <c r="I172" s="31"/>
      <c r="J172" s="31"/>
      <c r="K172" s="31"/>
      <c r="L172" s="31"/>
      <c r="M172" s="31"/>
    </row>
    <row r="173" spans="8:13" ht="15.75" customHeight="1" x14ac:dyDescent="0.3">
      <c r="H173" s="31"/>
      <c r="I173" s="31"/>
      <c r="J173" s="31"/>
      <c r="K173" s="31"/>
      <c r="L173" s="31"/>
      <c r="M173" s="31"/>
    </row>
    <row r="174" spans="8:13" ht="15.75" customHeight="1" x14ac:dyDescent="0.3">
      <c r="H174" s="31"/>
      <c r="I174" s="31"/>
      <c r="J174" s="31"/>
      <c r="K174" s="31"/>
      <c r="L174" s="31"/>
      <c r="M174" s="31"/>
    </row>
    <row r="175" spans="8:13" ht="15.75" customHeight="1" x14ac:dyDescent="0.3">
      <c r="H175" s="31"/>
      <c r="I175" s="31"/>
      <c r="J175" s="31"/>
      <c r="K175" s="31"/>
      <c r="L175" s="31"/>
      <c r="M175" s="31"/>
    </row>
    <row r="176" spans="8:13" ht="15.75" customHeight="1" x14ac:dyDescent="0.3">
      <c r="H176" s="31"/>
      <c r="I176" s="31"/>
      <c r="J176" s="31"/>
      <c r="K176" s="31"/>
      <c r="L176" s="31"/>
      <c r="M176" s="31"/>
    </row>
    <row r="177" spans="8:13" ht="15.75" customHeight="1" x14ac:dyDescent="0.3">
      <c r="H177" s="31"/>
      <c r="I177" s="31"/>
      <c r="J177" s="31"/>
      <c r="K177" s="31"/>
      <c r="L177" s="31"/>
      <c r="M177" s="31"/>
    </row>
    <row r="178" spans="8:13" ht="15.75" customHeight="1" x14ac:dyDescent="0.3">
      <c r="H178" s="31"/>
      <c r="I178" s="31"/>
      <c r="J178" s="31"/>
      <c r="K178" s="31"/>
      <c r="L178" s="31"/>
      <c r="M178" s="31"/>
    </row>
    <row r="179" spans="8:13" ht="15.75" customHeight="1" x14ac:dyDescent="0.3">
      <c r="H179" s="31"/>
      <c r="I179" s="31"/>
      <c r="J179" s="31"/>
      <c r="K179" s="31"/>
      <c r="L179" s="31"/>
      <c r="M179" s="31"/>
    </row>
    <row r="180" spans="8:13" ht="15.75" customHeight="1" x14ac:dyDescent="0.3">
      <c r="H180" s="31"/>
      <c r="I180" s="31"/>
      <c r="J180" s="31"/>
      <c r="K180" s="31"/>
      <c r="L180" s="31"/>
      <c r="M180" s="31"/>
    </row>
    <row r="181" spans="8:13" ht="15.75" customHeight="1" x14ac:dyDescent="0.3">
      <c r="H181" s="31"/>
      <c r="I181" s="31"/>
      <c r="J181" s="31"/>
      <c r="K181" s="31"/>
      <c r="L181" s="31"/>
      <c r="M181" s="31"/>
    </row>
    <row r="182" spans="8:13" ht="15.75" customHeight="1" x14ac:dyDescent="0.3">
      <c r="H182" s="31"/>
      <c r="I182" s="31"/>
      <c r="J182" s="31"/>
      <c r="K182" s="31"/>
      <c r="L182" s="31"/>
      <c r="M182" s="31"/>
    </row>
    <row r="183" spans="8:13" ht="15.75" customHeight="1" x14ac:dyDescent="0.3">
      <c r="H183" s="31"/>
      <c r="I183" s="31"/>
      <c r="J183" s="31"/>
      <c r="K183" s="31"/>
      <c r="L183" s="31"/>
      <c r="M183" s="31"/>
    </row>
    <row r="184" spans="8:13" ht="15.75" customHeight="1" x14ac:dyDescent="0.3">
      <c r="H184" s="31"/>
      <c r="I184" s="31"/>
      <c r="J184" s="31"/>
      <c r="K184" s="31"/>
      <c r="L184" s="31"/>
      <c r="M184" s="31"/>
    </row>
    <row r="185" spans="8:13" ht="15.75" customHeight="1" x14ac:dyDescent="0.3">
      <c r="H185" s="31"/>
      <c r="I185" s="31"/>
      <c r="J185" s="31"/>
      <c r="K185" s="31"/>
      <c r="L185" s="31"/>
      <c r="M185" s="31"/>
    </row>
    <row r="186" spans="8:13" ht="15.75" customHeight="1" x14ac:dyDescent="0.3">
      <c r="H186" s="31"/>
      <c r="I186" s="31"/>
      <c r="J186" s="31"/>
      <c r="K186" s="31"/>
      <c r="L186" s="31"/>
      <c r="M186" s="31"/>
    </row>
    <row r="187" spans="8:13" ht="15.75" customHeight="1" x14ac:dyDescent="0.3">
      <c r="H187" s="31"/>
      <c r="I187" s="31"/>
      <c r="J187" s="31"/>
      <c r="K187" s="31"/>
      <c r="L187" s="31"/>
      <c r="M187" s="31"/>
    </row>
    <row r="188" spans="8:13" ht="15.75" customHeight="1" x14ac:dyDescent="0.3">
      <c r="H188" s="31"/>
      <c r="I188" s="31"/>
      <c r="J188" s="31"/>
      <c r="K188" s="31"/>
      <c r="L188" s="31"/>
      <c r="M188" s="31"/>
    </row>
    <row r="189" spans="8:13" ht="15.75" customHeight="1" x14ac:dyDescent="0.3">
      <c r="H189" s="31"/>
      <c r="I189" s="31"/>
      <c r="J189" s="31"/>
      <c r="K189" s="31"/>
      <c r="L189" s="31"/>
      <c r="M189" s="31"/>
    </row>
    <row r="190" spans="8:13" ht="15.75" customHeight="1" x14ac:dyDescent="0.3">
      <c r="H190" s="31"/>
      <c r="I190" s="31"/>
      <c r="J190" s="31"/>
      <c r="K190" s="31"/>
      <c r="L190" s="31"/>
      <c r="M190" s="31"/>
    </row>
    <row r="191" spans="8:13" ht="15.75" customHeight="1" x14ac:dyDescent="0.3">
      <c r="H191" s="31"/>
      <c r="I191" s="31"/>
      <c r="J191" s="31"/>
      <c r="K191" s="31"/>
      <c r="L191" s="31"/>
      <c r="M191" s="31"/>
    </row>
    <row r="192" spans="8:13" ht="15.75" customHeight="1" x14ac:dyDescent="0.3">
      <c r="H192" s="31"/>
      <c r="I192" s="31"/>
      <c r="J192" s="31"/>
      <c r="K192" s="31"/>
      <c r="L192" s="31"/>
      <c r="M192" s="31"/>
    </row>
    <row r="193" spans="8:13" ht="15.75" customHeight="1" x14ac:dyDescent="0.3">
      <c r="H193" s="31"/>
      <c r="I193" s="31"/>
      <c r="J193" s="31"/>
      <c r="K193" s="31"/>
      <c r="L193" s="31"/>
      <c r="M193" s="31"/>
    </row>
    <row r="194" spans="8:13" ht="15.75" customHeight="1" x14ac:dyDescent="0.3">
      <c r="H194" s="31"/>
      <c r="I194" s="31"/>
      <c r="J194" s="31"/>
      <c r="K194" s="31"/>
      <c r="L194" s="31"/>
      <c r="M194" s="31"/>
    </row>
    <row r="195" spans="8:13" ht="15.75" customHeight="1" x14ac:dyDescent="0.3">
      <c r="H195" s="31"/>
      <c r="I195" s="31"/>
      <c r="J195" s="31"/>
      <c r="K195" s="31"/>
      <c r="L195" s="31"/>
      <c r="M195" s="31"/>
    </row>
    <row r="196" spans="8:13" ht="15.75" customHeight="1" x14ac:dyDescent="0.3">
      <c r="H196" s="31"/>
      <c r="I196" s="31"/>
      <c r="J196" s="31"/>
      <c r="K196" s="31"/>
      <c r="L196" s="31"/>
      <c r="M196" s="31"/>
    </row>
    <row r="197" spans="8:13" ht="15.75" customHeight="1" x14ac:dyDescent="0.3">
      <c r="H197" s="31"/>
      <c r="I197" s="31"/>
      <c r="J197" s="31"/>
      <c r="K197" s="31"/>
      <c r="L197" s="31"/>
      <c r="M197" s="31"/>
    </row>
    <row r="198" spans="8:13" ht="15.75" customHeight="1" x14ac:dyDescent="0.3">
      <c r="H198" s="31"/>
      <c r="I198" s="31"/>
      <c r="J198" s="31"/>
      <c r="K198" s="31"/>
      <c r="L198" s="31"/>
      <c r="M198" s="31"/>
    </row>
    <row r="199" spans="8:13" ht="15.75" customHeight="1" x14ac:dyDescent="0.3">
      <c r="H199" s="31"/>
      <c r="I199" s="31"/>
      <c r="J199" s="31"/>
      <c r="K199" s="31"/>
      <c r="L199" s="31"/>
      <c r="M199" s="31"/>
    </row>
    <row r="200" spans="8:13" ht="15.75" customHeight="1" x14ac:dyDescent="0.3">
      <c r="H200" s="31"/>
      <c r="I200" s="31"/>
      <c r="J200" s="31"/>
      <c r="K200" s="31"/>
      <c r="L200" s="31"/>
      <c r="M200" s="31"/>
    </row>
    <row r="201" spans="8:13" ht="15.75" customHeight="1" x14ac:dyDescent="0.3">
      <c r="H201" s="31"/>
      <c r="I201" s="31"/>
      <c r="J201" s="31"/>
      <c r="K201" s="31"/>
      <c r="L201" s="31"/>
      <c r="M201" s="31"/>
    </row>
    <row r="202" spans="8:13" ht="15.75" customHeight="1" x14ac:dyDescent="0.3">
      <c r="H202" s="31"/>
      <c r="I202" s="31"/>
      <c r="J202" s="31"/>
      <c r="K202" s="31"/>
      <c r="L202" s="31"/>
      <c r="M202" s="31"/>
    </row>
    <row r="203" spans="8:13" ht="15.75" customHeight="1" x14ac:dyDescent="0.3">
      <c r="H203" s="31"/>
      <c r="I203" s="31"/>
      <c r="J203" s="31"/>
      <c r="K203" s="31"/>
      <c r="L203" s="31"/>
      <c r="M203" s="31"/>
    </row>
    <row r="204" spans="8:13" ht="15.75" customHeight="1" x14ac:dyDescent="0.3">
      <c r="H204" s="31"/>
      <c r="I204" s="31"/>
      <c r="J204" s="31"/>
      <c r="K204" s="31"/>
      <c r="L204" s="31"/>
      <c r="M204" s="31"/>
    </row>
    <row r="205" spans="8:13" ht="15.75" customHeight="1" x14ac:dyDescent="0.3">
      <c r="H205" s="31"/>
      <c r="I205" s="31"/>
      <c r="J205" s="31"/>
      <c r="K205" s="31"/>
      <c r="L205" s="31"/>
      <c r="M205" s="31"/>
    </row>
    <row r="206" spans="8:13" ht="15.75" customHeight="1" x14ac:dyDescent="0.3">
      <c r="H206" s="31"/>
      <c r="I206" s="31"/>
      <c r="J206" s="31"/>
      <c r="K206" s="31"/>
      <c r="L206" s="31"/>
      <c r="M206" s="31"/>
    </row>
    <row r="207" spans="8:13" ht="15.75" customHeight="1" x14ac:dyDescent="0.3">
      <c r="H207" s="31"/>
      <c r="I207" s="31"/>
      <c r="J207" s="31"/>
      <c r="K207" s="31"/>
      <c r="L207" s="31"/>
      <c r="M207" s="31"/>
    </row>
    <row r="208" spans="8:13" ht="15.75" customHeight="1" x14ac:dyDescent="0.3">
      <c r="H208" s="31"/>
      <c r="I208" s="31"/>
      <c r="J208" s="31"/>
      <c r="K208" s="31"/>
      <c r="L208" s="31"/>
      <c r="M208" s="31"/>
    </row>
    <row r="209" spans="8:13" ht="15.75" customHeight="1" x14ac:dyDescent="0.3">
      <c r="H209" s="31"/>
      <c r="I209" s="31"/>
      <c r="J209" s="31"/>
      <c r="K209" s="31"/>
      <c r="L209" s="31"/>
      <c r="M209" s="31"/>
    </row>
    <row r="210" spans="8:13" ht="15.75" customHeight="1" x14ac:dyDescent="0.3">
      <c r="H210" s="31"/>
      <c r="I210" s="31"/>
      <c r="J210" s="31"/>
      <c r="K210" s="31"/>
      <c r="L210" s="31"/>
      <c r="M210" s="31"/>
    </row>
    <row r="211" spans="8:13" ht="15.75" customHeight="1" x14ac:dyDescent="0.3">
      <c r="H211" s="31"/>
      <c r="I211" s="31"/>
      <c r="J211" s="31"/>
      <c r="K211" s="31"/>
      <c r="L211" s="31"/>
      <c r="M211" s="31"/>
    </row>
    <row r="212" spans="8:13" ht="15.75" customHeight="1" x14ac:dyDescent="0.3">
      <c r="H212" s="31"/>
      <c r="I212" s="31"/>
      <c r="J212" s="31"/>
      <c r="K212" s="31"/>
      <c r="L212" s="31"/>
      <c r="M212" s="31"/>
    </row>
    <row r="213" spans="8:13" ht="15.75" customHeight="1" x14ac:dyDescent="0.3">
      <c r="H213" s="31"/>
      <c r="I213" s="31"/>
      <c r="J213" s="31"/>
      <c r="K213" s="31"/>
      <c r="L213" s="31"/>
      <c r="M213" s="31"/>
    </row>
    <row r="214" spans="8:13" ht="15.75" customHeight="1" x14ac:dyDescent="0.3">
      <c r="H214" s="31"/>
      <c r="I214" s="31"/>
      <c r="J214" s="31"/>
      <c r="K214" s="31"/>
      <c r="L214" s="31"/>
      <c r="M214" s="31"/>
    </row>
    <row r="215" spans="8:13" ht="15.75" customHeight="1" x14ac:dyDescent="0.3">
      <c r="H215" s="31"/>
      <c r="I215" s="31"/>
      <c r="J215" s="31"/>
      <c r="K215" s="31"/>
      <c r="L215" s="31"/>
      <c r="M215" s="31"/>
    </row>
    <row r="216" spans="8:13" ht="15.75" customHeight="1" x14ac:dyDescent="0.3">
      <c r="H216" s="31"/>
      <c r="I216" s="31"/>
      <c r="J216" s="31"/>
      <c r="K216" s="31"/>
      <c r="L216" s="31"/>
      <c r="M216" s="31"/>
    </row>
    <row r="217" spans="8:13" ht="15.75" customHeight="1" x14ac:dyDescent="0.3">
      <c r="H217" s="31"/>
      <c r="I217" s="31"/>
      <c r="J217" s="31"/>
      <c r="K217" s="31"/>
      <c r="L217" s="31"/>
      <c r="M217" s="31"/>
    </row>
    <row r="218" spans="8:13" ht="15.75" customHeight="1" x14ac:dyDescent="0.3">
      <c r="H218" s="31"/>
      <c r="I218" s="31"/>
      <c r="J218" s="31"/>
      <c r="K218" s="31"/>
      <c r="L218" s="31"/>
      <c r="M218" s="31"/>
    </row>
    <row r="219" spans="8:13" ht="15.75" customHeight="1" x14ac:dyDescent="0.3">
      <c r="H219" s="31"/>
      <c r="I219" s="31"/>
      <c r="J219" s="31"/>
      <c r="K219" s="31"/>
      <c r="L219" s="31"/>
      <c r="M219" s="31"/>
    </row>
    <row r="220" spans="8:13" ht="15.75" customHeight="1" x14ac:dyDescent="0.3">
      <c r="H220" s="31"/>
      <c r="I220" s="31"/>
      <c r="J220" s="31"/>
      <c r="K220" s="31"/>
      <c r="L220" s="31"/>
      <c r="M220" s="31"/>
    </row>
    <row r="221" spans="8:13" ht="15.75" customHeight="1" x14ac:dyDescent="0.3">
      <c r="H221" s="31"/>
      <c r="I221" s="31"/>
      <c r="J221" s="31"/>
      <c r="K221" s="31"/>
      <c r="L221" s="31"/>
      <c r="M221" s="31"/>
    </row>
    <row r="222" spans="8:13" ht="15.75" customHeight="1" x14ac:dyDescent="0.3">
      <c r="H222" s="31"/>
      <c r="I222" s="31"/>
      <c r="J222" s="31"/>
      <c r="K222" s="31"/>
      <c r="L222" s="31"/>
      <c r="M222" s="31"/>
    </row>
    <row r="223" spans="8:13" ht="15.75" customHeight="1" x14ac:dyDescent="0.3">
      <c r="H223" s="31"/>
      <c r="I223" s="31"/>
      <c r="J223" s="31"/>
      <c r="K223" s="31"/>
      <c r="L223" s="31"/>
      <c r="M223" s="31"/>
    </row>
    <row r="224" spans="8:13" ht="15.75" customHeight="1" x14ac:dyDescent="0.3">
      <c r="H224" s="31"/>
      <c r="I224" s="31"/>
      <c r="J224" s="31"/>
      <c r="K224" s="31"/>
      <c r="L224" s="31"/>
      <c r="M224" s="31"/>
    </row>
    <row r="225" spans="8:13" ht="15.75" customHeight="1" x14ac:dyDescent="0.3">
      <c r="H225" s="31"/>
      <c r="I225" s="31"/>
      <c r="J225" s="31"/>
      <c r="K225" s="31"/>
      <c r="L225" s="31"/>
      <c r="M225" s="31"/>
    </row>
    <row r="226" spans="8:13" ht="15.75" customHeight="1" x14ac:dyDescent="0.3">
      <c r="H226" s="31"/>
      <c r="I226" s="31"/>
      <c r="J226" s="31"/>
      <c r="K226" s="31"/>
      <c r="L226" s="31"/>
      <c r="M226" s="31"/>
    </row>
    <row r="227" spans="8:13" ht="15.75" customHeight="1" x14ac:dyDescent="0.3">
      <c r="H227" s="31"/>
      <c r="I227" s="31"/>
      <c r="J227" s="31"/>
      <c r="K227" s="31"/>
      <c r="L227" s="31"/>
      <c r="M227" s="31"/>
    </row>
    <row r="228" spans="8:13" ht="15.75" customHeight="1" x14ac:dyDescent="0.3">
      <c r="H228" s="31"/>
      <c r="I228" s="31"/>
      <c r="J228" s="31"/>
      <c r="K228" s="31"/>
      <c r="L228" s="31"/>
      <c r="M228" s="31"/>
    </row>
    <row r="229" spans="8:13" ht="15.75" customHeight="1" x14ac:dyDescent="0.3">
      <c r="H229" s="31"/>
      <c r="I229" s="31"/>
      <c r="J229" s="31"/>
      <c r="K229" s="31"/>
      <c r="L229" s="31"/>
      <c r="M229" s="31"/>
    </row>
    <row r="230" spans="8:13" ht="15.75" customHeight="1" x14ac:dyDescent="0.3">
      <c r="H230" s="31"/>
      <c r="I230" s="31"/>
      <c r="J230" s="31"/>
      <c r="K230" s="31"/>
      <c r="L230" s="31"/>
      <c r="M230" s="31"/>
    </row>
    <row r="231" spans="8:13" ht="15.75" customHeight="1" x14ac:dyDescent="0.3">
      <c r="H231" s="31"/>
      <c r="I231" s="31"/>
      <c r="J231" s="31"/>
      <c r="K231" s="31"/>
      <c r="L231" s="31"/>
      <c r="M231" s="31"/>
    </row>
    <row r="232" spans="8:13" ht="15.75" customHeight="1" x14ac:dyDescent="0.3">
      <c r="H232" s="31"/>
      <c r="I232" s="31"/>
      <c r="J232" s="31"/>
      <c r="K232" s="31"/>
      <c r="L232" s="31"/>
      <c r="M232" s="31"/>
    </row>
    <row r="233" spans="8:13" ht="15.75" customHeight="1" x14ac:dyDescent="0.3">
      <c r="H233" s="31"/>
      <c r="I233" s="31"/>
      <c r="J233" s="31"/>
      <c r="K233" s="31"/>
      <c r="L233" s="31"/>
      <c r="M233" s="31"/>
    </row>
    <row r="234" spans="8:13" ht="15.75" customHeight="1" x14ac:dyDescent="0.3">
      <c r="H234" s="31"/>
      <c r="I234" s="31"/>
      <c r="J234" s="31"/>
      <c r="K234" s="31"/>
      <c r="L234" s="31"/>
      <c r="M234" s="31"/>
    </row>
    <row r="235" spans="8:13" ht="15.75" customHeight="1" x14ac:dyDescent="0.3">
      <c r="H235" s="31"/>
      <c r="I235" s="31"/>
      <c r="J235" s="31"/>
      <c r="K235" s="31"/>
      <c r="L235" s="31"/>
      <c r="M235" s="31"/>
    </row>
    <row r="236" spans="8:13" ht="15.75" customHeight="1" x14ac:dyDescent="0.3">
      <c r="H236" s="31"/>
      <c r="I236" s="31"/>
      <c r="J236" s="31"/>
      <c r="K236" s="31"/>
      <c r="L236" s="31"/>
      <c r="M236" s="31"/>
    </row>
    <row r="237" spans="8:13" ht="15.75" customHeight="1" x14ac:dyDescent="0.3">
      <c r="H237" s="31"/>
      <c r="I237" s="31"/>
      <c r="J237" s="31"/>
      <c r="K237" s="31"/>
      <c r="L237" s="31"/>
      <c r="M237" s="31"/>
    </row>
    <row r="238" spans="8:13" ht="15.75" customHeight="1" x14ac:dyDescent="0.3">
      <c r="H238" s="31"/>
      <c r="I238" s="31"/>
      <c r="J238" s="31"/>
      <c r="K238" s="31"/>
      <c r="L238" s="31"/>
      <c r="M238" s="31"/>
    </row>
    <row r="239" spans="8:13" ht="15.75" customHeight="1" x14ac:dyDescent="0.3">
      <c r="H239" s="31"/>
      <c r="I239" s="31"/>
      <c r="J239" s="31"/>
      <c r="K239" s="31"/>
      <c r="L239" s="31"/>
      <c r="M239" s="31"/>
    </row>
    <row r="240" spans="8:13" ht="15.75" customHeight="1" x14ac:dyDescent="0.3">
      <c r="H240" s="31"/>
      <c r="I240" s="31"/>
      <c r="J240" s="31"/>
      <c r="K240" s="31"/>
      <c r="L240" s="31"/>
      <c r="M240" s="31"/>
    </row>
    <row r="241" spans="8:13" ht="15.75" customHeight="1" x14ac:dyDescent="0.3">
      <c r="H241" s="31"/>
      <c r="I241" s="31"/>
      <c r="J241" s="31"/>
      <c r="K241" s="31"/>
      <c r="L241" s="31"/>
      <c r="M241" s="31"/>
    </row>
    <row r="242" spans="8:13" ht="15.75" customHeight="1" x14ac:dyDescent="0.3">
      <c r="H242" s="31"/>
      <c r="I242" s="31"/>
      <c r="J242" s="31"/>
      <c r="K242" s="31"/>
      <c r="L242" s="31"/>
      <c r="M242" s="31"/>
    </row>
    <row r="243" spans="8:13" ht="15.75" customHeight="1" x14ac:dyDescent="0.3">
      <c r="H243" s="31"/>
      <c r="I243" s="31"/>
      <c r="J243" s="31"/>
      <c r="K243" s="31"/>
      <c r="L243" s="31"/>
      <c r="M243" s="31"/>
    </row>
    <row r="244" spans="8:13" ht="15.75" customHeight="1" x14ac:dyDescent="0.3">
      <c r="H244" s="31"/>
      <c r="I244" s="31"/>
      <c r="J244" s="31"/>
      <c r="K244" s="31"/>
      <c r="L244" s="31"/>
      <c r="M244" s="31"/>
    </row>
    <row r="245" spans="8:13" ht="15.75" customHeight="1" x14ac:dyDescent="0.3">
      <c r="H245" s="31"/>
      <c r="I245" s="31"/>
      <c r="J245" s="31"/>
      <c r="K245" s="31"/>
      <c r="L245" s="31"/>
      <c r="M245" s="31"/>
    </row>
    <row r="246" spans="8:13" ht="15.75" customHeight="1" x14ac:dyDescent="0.3">
      <c r="H246" s="31"/>
      <c r="I246" s="31"/>
      <c r="J246" s="31"/>
      <c r="K246" s="31"/>
      <c r="L246" s="31"/>
      <c r="M246" s="31"/>
    </row>
    <row r="247" spans="8:13" ht="15.75" customHeight="1" x14ac:dyDescent="0.3">
      <c r="H247" s="31"/>
      <c r="I247" s="31"/>
      <c r="J247" s="31"/>
      <c r="K247" s="31"/>
      <c r="L247" s="31"/>
      <c r="M247" s="31"/>
    </row>
    <row r="248" spans="8:13" ht="15.75" customHeight="1" x14ac:dyDescent="0.3">
      <c r="H248" s="31"/>
      <c r="I248" s="31"/>
      <c r="J248" s="31"/>
      <c r="K248" s="31"/>
      <c r="L248" s="31"/>
      <c r="M248" s="31"/>
    </row>
    <row r="249" spans="8:13" ht="15.75" customHeight="1" x14ac:dyDescent="0.3">
      <c r="H249" s="31"/>
      <c r="I249" s="31"/>
      <c r="J249" s="31"/>
      <c r="K249" s="31"/>
      <c r="L249" s="31"/>
      <c r="M249" s="31"/>
    </row>
    <row r="250" spans="8:13" ht="15.75" customHeight="1" x14ac:dyDescent="0.3">
      <c r="H250" s="31"/>
      <c r="I250" s="31"/>
      <c r="J250" s="31"/>
      <c r="K250" s="31"/>
      <c r="L250" s="31"/>
      <c r="M250" s="31"/>
    </row>
    <row r="251" spans="8:13" ht="15.75" customHeight="1" x14ac:dyDescent="0.3">
      <c r="H251" s="31"/>
      <c r="I251" s="31"/>
      <c r="J251" s="31"/>
      <c r="K251" s="31"/>
      <c r="L251" s="31"/>
      <c r="M251" s="31"/>
    </row>
    <row r="252" spans="8:13" ht="15.75" customHeight="1" x14ac:dyDescent="0.3">
      <c r="H252" s="31"/>
      <c r="I252" s="31"/>
      <c r="J252" s="31"/>
      <c r="K252" s="31"/>
      <c r="L252" s="31"/>
      <c r="M252" s="31"/>
    </row>
    <row r="253" spans="8:13" ht="15.75" customHeight="1" x14ac:dyDescent="0.3">
      <c r="H253" s="31"/>
      <c r="I253" s="31"/>
      <c r="J253" s="31"/>
      <c r="K253" s="31"/>
      <c r="L253" s="31"/>
      <c r="M253" s="31"/>
    </row>
    <row r="254" spans="8:13" ht="15.75" customHeight="1" x14ac:dyDescent="0.3">
      <c r="H254" s="31"/>
      <c r="I254" s="31"/>
      <c r="J254" s="31"/>
      <c r="K254" s="31"/>
      <c r="L254" s="31"/>
      <c r="M254" s="31"/>
    </row>
    <row r="255" spans="8:13" ht="15.75" customHeight="1" x14ac:dyDescent="0.3">
      <c r="H255" s="31"/>
      <c r="I255" s="31"/>
      <c r="J255" s="31"/>
      <c r="K255" s="31"/>
      <c r="L255" s="31"/>
      <c r="M255" s="31"/>
    </row>
    <row r="256" spans="8:13" ht="15.75" customHeight="1" x14ac:dyDescent="0.3">
      <c r="H256" s="31"/>
      <c r="I256" s="31"/>
      <c r="J256" s="31"/>
      <c r="K256" s="31"/>
      <c r="L256" s="31"/>
      <c r="M256" s="31"/>
    </row>
    <row r="257" spans="8:13" ht="15.75" customHeight="1" x14ac:dyDescent="0.3">
      <c r="H257" s="31"/>
      <c r="I257" s="31"/>
      <c r="J257" s="31"/>
      <c r="K257" s="31"/>
      <c r="L257" s="31"/>
      <c r="M257" s="31"/>
    </row>
    <row r="258" spans="8:13" ht="15.75" customHeight="1" x14ac:dyDescent="0.3">
      <c r="H258" s="31"/>
      <c r="I258" s="31"/>
      <c r="J258" s="31"/>
      <c r="K258" s="31"/>
      <c r="L258" s="31"/>
      <c r="M258" s="31"/>
    </row>
    <row r="259" spans="8:13" ht="15.75" customHeight="1" x14ac:dyDescent="0.3">
      <c r="H259" s="31"/>
      <c r="I259" s="31"/>
      <c r="J259" s="31"/>
      <c r="K259" s="31"/>
      <c r="L259" s="31"/>
      <c r="M259" s="31"/>
    </row>
    <row r="260" spans="8:13" ht="15.75" customHeight="1" x14ac:dyDescent="0.3">
      <c r="H260" s="31"/>
      <c r="I260" s="31"/>
      <c r="J260" s="31"/>
      <c r="K260" s="31"/>
      <c r="L260" s="31"/>
      <c r="M260" s="31"/>
    </row>
    <row r="261" spans="8:13" ht="15.75" customHeight="1" x14ac:dyDescent="0.3">
      <c r="H261" s="31"/>
      <c r="I261" s="31"/>
      <c r="J261" s="31"/>
      <c r="K261" s="31"/>
      <c r="L261" s="31"/>
      <c r="M261" s="31"/>
    </row>
    <row r="262" spans="8:13" ht="15.75" customHeight="1" x14ac:dyDescent="0.3">
      <c r="H262" s="31"/>
      <c r="I262" s="31"/>
      <c r="J262" s="31"/>
      <c r="K262" s="31"/>
      <c r="L262" s="31"/>
      <c r="M262" s="31"/>
    </row>
    <row r="263" spans="8:13" ht="15.75" customHeight="1" x14ac:dyDescent="0.3">
      <c r="H263" s="31"/>
      <c r="I263" s="31"/>
      <c r="J263" s="31"/>
      <c r="K263" s="31"/>
      <c r="L263" s="31"/>
      <c r="M263" s="31"/>
    </row>
    <row r="264" spans="8:13" ht="15.75" customHeight="1" x14ac:dyDescent="0.3">
      <c r="H264" s="31"/>
      <c r="I264" s="31"/>
      <c r="J264" s="31"/>
      <c r="K264" s="31"/>
      <c r="L264" s="31"/>
      <c r="M264" s="31"/>
    </row>
    <row r="265" spans="8:13" ht="15.75" customHeight="1" x14ac:dyDescent="0.3">
      <c r="H265" s="31"/>
      <c r="I265" s="31"/>
      <c r="J265" s="31"/>
      <c r="K265" s="31"/>
      <c r="L265" s="31"/>
      <c r="M265" s="31"/>
    </row>
    <row r="266" spans="8:13" ht="15.75" customHeight="1" x14ac:dyDescent="0.3">
      <c r="H266" s="31"/>
      <c r="I266" s="31"/>
      <c r="J266" s="31"/>
      <c r="K266" s="31"/>
      <c r="L266" s="31"/>
      <c r="M266" s="31"/>
    </row>
    <row r="267" spans="8:13" ht="15.75" customHeight="1" x14ac:dyDescent="0.3">
      <c r="H267" s="31"/>
      <c r="I267" s="31"/>
      <c r="J267" s="31"/>
      <c r="K267" s="31"/>
      <c r="L267" s="31"/>
      <c r="M267" s="31"/>
    </row>
    <row r="268" spans="8:13" ht="15.75" customHeight="1" x14ac:dyDescent="0.3">
      <c r="H268" s="31"/>
      <c r="I268" s="31"/>
      <c r="J268" s="31"/>
      <c r="K268" s="31"/>
      <c r="L268" s="31"/>
      <c r="M268" s="31"/>
    </row>
    <row r="269" spans="8:13" ht="15.75" customHeight="1" x14ac:dyDescent="0.3">
      <c r="H269" s="31"/>
      <c r="I269" s="31"/>
      <c r="J269" s="31"/>
      <c r="K269" s="31"/>
      <c r="L269" s="31"/>
      <c r="M269" s="31"/>
    </row>
    <row r="270" spans="8:13" ht="15.75" customHeight="1" x14ac:dyDescent="0.3">
      <c r="H270" s="31"/>
      <c r="I270" s="31"/>
      <c r="J270" s="31"/>
      <c r="K270" s="31"/>
      <c r="L270" s="31"/>
      <c r="M270" s="31"/>
    </row>
    <row r="271" spans="8:13" ht="15.75" customHeight="1" x14ac:dyDescent="0.3">
      <c r="H271" s="31"/>
      <c r="I271" s="31"/>
      <c r="J271" s="31"/>
      <c r="K271" s="31"/>
      <c r="L271" s="31"/>
      <c r="M271" s="31"/>
    </row>
    <row r="272" spans="8:13" ht="15.75" customHeight="1" x14ac:dyDescent="0.3">
      <c r="H272" s="31"/>
      <c r="I272" s="31"/>
      <c r="J272" s="31"/>
      <c r="K272" s="31"/>
      <c r="L272" s="31"/>
      <c r="M272" s="31"/>
    </row>
    <row r="273" spans="8:13" ht="15.75" customHeight="1" x14ac:dyDescent="0.3">
      <c r="H273" s="31"/>
      <c r="I273" s="31"/>
      <c r="J273" s="31"/>
      <c r="K273" s="31"/>
      <c r="L273" s="31"/>
      <c r="M273" s="31"/>
    </row>
    <row r="274" spans="8:13" ht="15.75" customHeight="1" x14ac:dyDescent="0.3">
      <c r="H274" s="31"/>
      <c r="I274" s="31"/>
      <c r="J274" s="31"/>
      <c r="K274" s="31"/>
      <c r="L274" s="31"/>
      <c r="M274" s="31"/>
    </row>
    <row r="275" spans="8:13" ht="15.75" customHeight="1" x14ac:dyDescent="0.3">
      <c r="H275" s="31"/>
      <c r="I275" s="31"/>
      <c r="J275" s="31"/>
      <c r="K275" s="31"/>
      <c r="L275" s="31"/>
      <c r="M275" s="31"/>
    </row>
    <row r="276" spans="8:13" ht="15.75" customHeight="1" x14ac:dyDescent="0.3">
      <c r="H276" s="31"/>
      <c r="I276" s="31"/>
      <c r="J276" s="31"/>
      <c r="K276" s="31"/>
      <c r="L276" s="31"/>
      <c r="M276" s="31"/>
    </row>
    <row r="277" spans="8:13" ht="15.75" customHeight="1" x14ac:dyDescent="0.3">
      <c r="H277" s="31"/>
      <c r="I277" s="31"/>
      <c r="J277" s="31"/>
      <c r="K277" s="31"/>
      <c r="L277" s="31"/>
      <c r="M277" s="31"/>
    </row>
    <row r="278" spans="8:13" ht="15.75" customHeight="1" x14ac:dyDescent="0.3">
      <c r="H278" s="31"/>
      <c r="I278" s="31"/>
      <c r="J278" s="31"/>
      <c r="K278" s="31"/>
      <c r="L278" s="31"/>
      <c r="M278" s="31"/>
    </row>
    <row r="279" spans="8:13" ht="15.75" customHeight="1" x14ac:dyDescent="0.3">
      <c r="H279" s="31"/>
      <c r="I279" s="31"/>
      <c r="J279" s="31"/>
      <c r="K279" s="31"/>
      <c r="L279" s="31"/>
      <c r="M279" s="31"/>
    </row>
    <row r="280" spans="8:13" ht="15.75" customHeight="1" x14ac:dyDescent="0.3">
      <c r="H280" s="31"/>
      <c r="I280" s="31"/>
      <c r="J280" s="31"/>
      <c r="K280" s="31"/>
      <c r="L280" s="31"/>
      <c r="M280" s="31"/>
    </row>
    <row r="281" spans="8:13" ht="15.75" customHeight="1" x14ac:dyDescent="0.3">
      <c r="H281" s="31"/>
      <c r="I281" s="31"/>
      <c r="J281" s="31"/>
      <c r="K281" s="31"/>
      <c r="L281" s="31"/>
      <c r="M281" s="31"/>
    </row>
    <row r="282" spans="8:13" ht="15.75" customHeight="1" x14ac:dyDescent="0.3">
      <c r="H282" s="31"/>
      <c r="I282" s="31"/>
      <c r="J282" s="31"/>
      <c r="K282" s="31"/>
      <c r="L282" s="31"/>
      <c r="M282" s="31"/>
    </row>
    <row r="283" spans="8:13" ht="15.75" customHeight="1" x14ac:dyDescent="0.3">
      <c r="H283" s="31"/>
      <c r="I283" s="31"/>
      <c r="J283" s="31"/>
      <c r="K283" s="31"/>
      <c r="L283" s="31"/>
      <c r="M283" s="31"/>
    </row>
    <row r="284" spans="8:13" ht="15.75" customHeight="1" x14ac:dyDescent="0.3">
      <c r="H284" s="31"/>
      <c r="I284" s="31"/>
      <c r="J284" s="31"/>
      <c r="K284" s="31"/>
      <c r="L284" s="31"/>
      <c r="M284" s="31"/>
    </row>
    <row r="285" spans="8:13" ht="15.75" customHeight="1" x14ac:dyDescent="0.3">
      <c r="H285" s="31"/>
      <c r="I285" s="31"/>
      <c r="J285" s="31"/>
      <c r="K285" s="31"/>
      <c r="L285" s="31"/>
      <c r="M285" s="31"/>
    </row>
    <row r="286" spans="8:13" ht="15.75" customHeight="1" x14ac:dyDescent="0.3">
      <c r="H286" s="31"/>
      <c r="I286" s="31"/>
      <c r="J286" s="31"/>
      <c r="K286" s="31"/>
      <c r="L286" s="31"/>
      <c r="M286" s="31"/>
    </row>
    <row r="287" spans="8:13" ht="15.75" customHeight="1" x14ac:dyDescent="0.3">
      <c r="H287" s="31"/>
      <c r="I287" s="31"/>
      <c r="J287" s="31"/>
      <c r="K287" s="31"/>
      <c r="L287" s="31"/>
      <c r="M287" s="31"/>
    </row>
    <row r="288" spans="8:13" ht="15.75" customHeight="1" x14ac:dyDescent="0.3">
      <c r="H288" s="31"/>
      <c r="I288" s="31"/>
      <c r="J288" s="31"/>
      <c r="K288" s="31"/>
      <c r="L288" s="31"/>
      <c r="M288" s="31"/>
    </row>
    <row r="289" spans="8:13" ht="15.75" customHeight="1" x14ac:dyDescent="0.3">
      <c r="H289" s="31"/>
      <c r="I289" s="31"/>
      <c r="J289" s="31"/>
      <c r="K289" s="31"/>
      <c r="L289" s="31"/>
      <c r="M289" s="31"/>
    </row>
    <row r="290" spans="8:13" ht="15.75" customHeight="1" x14ac:dyDescent="0.3">
      <c r="H290" s="31"/>
      <c r="I290" s="31"/>
      <c r="J290" s="31"/>
      <c r="K290" s="31"/>
      <c r="L290" s="31"/>
      <c r="M290" s="31"/>
    </row>
    <row r="291" spans="8:13" ht="15.75" customHeight="1" x14ac:dyDescent="0.3">
      <c r="H291" s="31"/>
      <c r="I291" s="31"/>
      <c r="J291" s="31"/>
      <c r="K291" s="31"/>
      <c r="L291" s="31"/>
      <c r="M291" s="31"/>
    </row>
    <row r="292" spans="8:13" ht="15.75" customHeight="1" x14ac:dyDescent="0.3">
      <c r="H292" s="31"/>
      <c r="I292" s="31"/>
      <c r="J292" s="31"/>
      <c r="K292" s="31"/>
      <c r="L292" s="31"/>
      <c r="M292" s="31"/>
    </row>
    <row r="293" spans="8:13" ht="15.75" customHeight="1" x14ac:dyDescent="0.3">
      <c r="H293" s="31"/>
      <c r="I293" s="31"/>
      <c r="J293" s="31"/>
      <c r="K293" s="31"/>
      <c r="L293" s="31"/>
      <c r="M293" s="31"/>
    </row>
    <row r="294" spans="8:13" ht="15.75" customHeight="1" x14ac:dyDescent="0.3">
      <c r="H294" s="31"/>
      <c r="I294" s="31"/>
      <c r="J294" s="31"/>
      <c r="K294" s="31"/>
      <c r="L294" s="31"/>
      <c r="M294" s="31"/>
    </row>
    <row r="295" spans="8:13" ht="15.75" customHeight="1" x14ac:dyDescent="0.3">
      <c r="H295" s="31"/>
      <c r="I295" s="31"/>
      <c r="J295" s="31"/>
      <c r="K295" s="31"/>
      <c r="L295" s="31"/>
      <c r="M295" s="31"/>
    </row>
    <row r="296" spans="8:13" ht="15.75" customHeight="1" x14ac:dyDescent="0.3">
      <c r="H296" s="31"/>
      <c r="I296" s="31"/>
      <c r="J296" s="31"/>
      <c r="K296" s="31"/>
      <c r="L296" s="31"/>
      <c r="M296" s="31"/>
    </row>
    <row r="297" spans="8:13" ht="15.75" customHeight="1" x14ac:dyDescent="0.3">
      <c r="H297" s="31"/>
      <c r="I297" s="31"/>
      <c r="J297" s="31"/>
      <c r="K297" s="31"/>
      <c r="L297" s="31"/>
      <c r="M297" s="31"/>
    </row>
    <row r="298" spans="8:13" ht="15.75" customHeight="1" x14ac:dyDescent="0.3">
      <c r="H298" s="31"/>
      <c r="I298" s="31"/>
      <c r="J298" s="31"/>
      <c r="K298" s="31"/>
      <c r="L298" s="31"/>
      <c r="M298" s="31"/>
    </row>
    <row r="299" spans="8:13" ht="15.75" customHeight="1" x14ac:dyDescent="0.3">
      <c r="H299" s="31"/>
      <c r="I299" s="31"/>
      <c r="J299" s="31"/>
      <c r="K299" s="31"/>
      <c r="L299" s="31"/>
      <c r="M299" s="31"/>
    </row>
    <row r="300" spans="8:13" ht="15.75" customHeight="1" x14ac:dyDescent="0.3">
      <c r="H300" s="31"/>
      <c r="I300" s="31"/>
      <c r="J300" s="31"/>
      <c r="K300" s="31"/>
      <c r="L300" s="31"/>
      <c r="M300" s="31"/>
    </row>
    <row r="301" spans="8:13" ht="15.75" customHeight="1" x14ac:dyDescent="0.3">
      <c r="H301" s="31"/>
      <c r="I301" s="31"/>
      <c r="J301" s="31"/>
      <c r="K301" s="31"/>
      <c r="L301" s="31"/>
      <c r="M301" s="31"/>
    </row>
    <row r="302" spans="8:13" ht="15.75" customHeight="1" x14ac:dyDescent="0.3">
      <c r="H302" s="31"/>
      <c r="I302" s="31"/>
      <c r="J302" s="31"/>
      <c r="K302" s="31"/>
      <c r="L302" s="31"/>
      <c r="M302" s="31"/>
    </row>
    <row r="303" spans="8:13" ht="15.75" customHeight="1" x14ac:dyDescent="0.3">
      <c r="H303" s="31"/>
      <c r="I303" s="31"/>
      <c r="J303" s="31"/>
      <c r="K303" s="31"/>
      <c r="L303" s="31"/>
      <c r="M303" s="31"/>
    </row>
    <row r="304" spans="8:13" ht="15.75" customHeight="1" x14ac:dyDescent="0.3">
      <c r="H304" s="31"/>
      <c r="I304" s="31"/>
      <c r="J304" s="31"/>
      <c r="K304" s="31"/>
      <c r="L304" s="31"/>
      <c r="M304" s="31"/>
    </row>
    <row r="305" spans="8:13" ht="15.75" customHeight="1" x14ac:dyDescent="0.3">
      <c r="H305" s="31"/>
      <c r="I305" s="31"/>
      <c r="J305" s="31"/>
      <c r="K305" s="31"/>
      <c r="L305" s="31"/>
      <c r="M305" s="31"/>
    </row>
    <row r="306" spans="8:13" ht="15.75" customHeight="1" x14ac:dyDescent="0.3">
      <c r="H306" s="31"/>
      <c r="I306" s="31"/>
      <c r="J306" s="31"/>
      <c r="K306" s="31"/>
      <c r="L306" s="31"/>
      <c r="M306" s="31"/>
    </row>
    <row r="307" spans="8:13" ht="15.75" customHeight="1" x14ac:dyDescent="0.3">
      <c r="H307" s="31"/>
      <c r="I307" s="31"/>
      <c r="J307" s="31"/>
      <c r="K307" s="31"/>
      <c r="L307" s="31"/>
      <c r="M307" s="31"/>
    </row>
    <row r="308" spans="8:13" ht="15.75" customHeight="1" x14ac:dyDescent="0.3">
      <c r="H308" s="31"/>
      <c r="I308" s="31"/>
      <c r="J308" s="31"/>
      <c r="K308" s="31"/>
      <c r="L308" s="31"/>
      <c r="M308" s="31"/>
    </row>
    <row r="309" spans="8:13" ht="15.75" customHeight="1" x14ac:dyDescent="0.3">
      <c r="H309" s="31"/>
      <c r="I309" s="31"/>
      <c r="J309" s="31"/>
      <c r="K309" s="31"/>
      <c r="L309" s="31"/>
      <c r="M309" s="31"/>
    </row>
    <row r="310" spans="8:13" ht="15.75" customHeight="1" x14ac:dyDescent="0.3">
      <c r="H310" s="31"/>
      <c r="I310" s="31"/>
      <c r="J310" s="31"/>
      <c r="K310" s="31"/>
      <c r="L310" s="31"/>
      <c r="M310" s="31"/>
    </row>
    <row r="311" spans="8:13" ht="15.75" customHeight="1" x14ac:dyDescent="0.3">
      <c r="H311" s="31"/>
      <c r="I311" s="31"/>
      <c r="J311" s="31"/>
      <c r="K311" s="31"/>
      <c r="L311" s="31"/>
      <c r="M311" s="31"/>
    </row>
    <row r="312" spans="8:13" ht="15.75" customHeight="1" x14ac:dyDescent="0.3">
      <c r="H312" s="31"/>
      <c r="I312" s="31"/>
      <c r="J312" s="31"/>
      <c r="K312" s="31"/>
      <c r="L312" s="31"/>
      <c r="M312" s="31"/>
    </row>
    <row r="313" spans="8:13" ht="15.75" customHeight="1" x14ac:dyDescent="0.3">
      <c r="H313" s="31"/>
      <c r="I313" s="31"/>
      <c r="J313" s="31"/>
      <c r="K313" s="31"/>
      <c r="L313" s="31"/>
      <c r="M313" s="31"/>
    </row>
    <row r="314" spans="8:13" ht="15.75" customHeight="1" x14ac:dyDescent="0.3">
      <c r="H314" s="31"/>
      <c r="I314" s="31"/>
      <c r="J314" s="31"/>
      <c r="K314" s="31"/>
      <c r="L314" s="31"/>
      <c r="M314" s="31"/>
    </row>
    <row r="315" spans="8:13" ht="15.75" customHeight="1" x14ac:dyDescent="0.3">
      <c r="H315" s="31"/>
      <c r="I315" s="31"/>
      <c r="J315" s="31"/>
      <c r="K315" s="31"/>
      <c r="L315" s="31"/>
      <c r="M315" s="31"/>
    </row>
    <row r="316" spans="8:13" ht="15.75" customHeight="1" x14ac:dyDescent="0.3">
      <c r="H316" s="31"/>
      <c r="I316" s="31"/>
      <c r="J316" s="31"/>
      <c r="K316" s="31"/>
      <c r="L316" s="31"/>
      <c r="M316" s="31"/>
    </row>
    <row r="317" spans="8:13" ht="15.75" customHeight="1" x14ac:dyDescent="0.3">
      <c r="H317" s="31"/>
      <c r="I317" s="31"/>
      <c r="J317" s="31"/>
      <c r="K317" s="31"/>
      <c r="L317" s="31"/>
      <c r="M317" s="31"/>
    </row>
    <row r="318" spans="8:13" ht="15.75" customHeight="1" x14ac:dyDescent="0.3">
      <c r="H318" s="31"/>
      <c r="I318" s="31"/>
      <c r="J318" s="31"/>
      <c r="K318" s="31"/>
      <c r="L318" s="31"/>
      <c r="M318" s="31"/>
    </row>
    <row r="319" spans="8:13" ht="15.75" customHeight="1" x14ac:dyDescent="0.3">
      <c r="H319" s="31"/>
      <c r="I319" s="31"/>
      <c r="J319" s="31"/>
      <c r="K319" s="31"/>
      <c r="L319" s="31"/>
      <c r="M319" s="31"/>
    </row>
    <row r="320" spans="8:13" ht="15.75" customHeight="1" x14ac:dyDescent="0.3">
      <c r="H320" s="31"/>
      <c r="I320" s="31"/>
      <c r="J320" s="31"/>
      <c r="K320" s="31"/>
      <c r="L320" s="31"/>
      <c r="M320" s="31"/>
    </row>
    <row r="321" spans="8:13" ht="15.75" customHeight="1" x14ac:dyDescent="0.3">
      <c r="H321" s="31"/>
      <c r="I321" s="31"/>
      <c r="J321" s="31"/>
      <c r="K321" s="31"/>
      <c r="L321" s="31"/>
      <c r="M321" s="31"/>
    </row>
    <row r="322" spans="8:13" ht="15.75" customHeight="1" x14ac:dyDescent="0.3">
      <c r="H322" s="31"/>
      <c r="I322" s="31"/>
      <c r="J322" s="31"/>
      <c r="K322" s="31"/>
      <c r="L322" s="31"/>
      <c r="M322" s="31"/>
    </row>
    <row r="323" spans="8:13" ht="15.75" customHeight="1" x14ac:dyDescent="0.3">
      <c r="H323" s="31"/>
      <c r="I323" s="31"/>
      <c r="J323" s="31"/>
      <c r="K323" s="31"/>
      <c r="L323" s="31"/>
      <c r="M323" s="31"/>
    </row>
    <row r="324" spans="8:13" ht="15.75" customHeight="1" x14ac:dyDescent="0.3">
      <c r="H324" s="31"/>
      <c r="I324" s="31"/>
      <c r="J324" s="31"/>
      <c r="K324" s="31"/>
      <c r="L324" s="31"/>
      <c r="M324" s="31"/>
    </row>
    <row r="325" spans="8:13" ht="15.75" customHeight="1" x14ac:dyDescent="0.3">
      <c r="H325" s="31"/>
      <c r="I325" s="31"/>
      <c r="J325" s="31"/>
      <c r="K325" s="31"/>
      <c r="L325" s="31"/>
      <c r="M325" s="31"/>
    </row>
    <row r="326" spans="8:13" ht="15.75" customHeight="1" x14ac:dyDescent="0.3">
      <c r="H326" s="31"/>
      <c r="I326" s="31"/>
      <c r="J326" s="31"/>
      <c r="K326" s="31"/>
      <c r="L326" s="31"/>
      <c r="M326" s="31"/>
    </row>
    <row r="327" spans="8:13" ht="15.75" customHeight="1" x14ac:dyDescent="0.3">
      <c r="H327" s="31"/>
      <c r="I327" s="31"/>
      <c r="J327" s="31"/>
      <c r="K327" s="31"/>
      <c r="L327" s="31"/>
      <c r="M327" s="31"/>
    </row>
    <row r="328" spans="8:13" ht="15.75" customHeight="1" x14ac:dyDescent="0.3">
      <c r="H328" s="31"/>
      <c r="I328" s="31"/>
      <c r="J328" s="31"/>
      <c r="K328" s="31"/>
      <c r="L328" s="31"/>
      <c r="M328" s="31"/>
    </row>
    <row r="329" spans="8:13" ht="15.75" customHeight="1" x14ac:dyDescent="0.3">
      <c r="H329" s="31"/>
      <c r="I329" s="31"/>
      <c r="J329" s="31"/>
      <c r="K329" s="31"/>
      <c r="L329" s="31"/>
      <c r="M329" s="31"/>
    </row>
    <row r="330" spans="8:13" ht="15.75" customHeight="1" x14ac:dyDescent="0.3">
      <c r="H330" s="31"/>
      <c r="I330" s="31"/>
      <c r="J330" s="31"/>
      <c r="K330" s="31"/>
      <c r="L330" s="31"/>
      <c r="M330" s="31"/>
    </row>
    <row r="331" spans="8:13" ht="15.75" customHeight="1" x14ac:dyDescent="0.3">
      <c r="H331" s="31"/>
      <c r="I331" s="31"/>
      <c r="J331" s="31"/>
      <c r="K331" s="31"/>
      <c r="L331" s="31"/>
      <c r="M331" s="31"/>
    </row>
    <row r="332" spans="8:13" ht="15.75" customHeight="1" x14ac:dyDescent="0.3">
      <c r="H332" s="31"/>
      <c r="I332" s="31"/>
      <c r="J332" s="31"/>
      <c r="K332" s="31"/>
      <c r="L332" s="31"/>
      <c r="M332" s="31"/>
    </row>
    <row r="333" spans="8:13" ht="15.75" customHeight="1" x14ac:dyDescent="0.3">
      <c r="H333" s="31"/>
      <c r="I333" s="31"/>
      <c r="J333" s="31"/>
      <c r="K333" s="31"/>
      <c r="L333" s="31"/>
      <c r="M333" s="31"/>
    </row>
    <row r="334" spans="8:13" ht="15.75" customHeight="1" x14ac:dyDescent="0.3">
      <c r="H334" s="31"/>
      <c r="I334" s="31"/>
      <c r="J334" s="31"/>
      <c r="K334" s="31"/>
      <c r="L334" s="31"/>
      <c r="M334" s="31"/>
    </row>
    <row r="335" spans="8:13" ht="15.75" customHeight="1" x14ac:dyDescent="0.3">
      <c r="H335" s="31"/>
      <c r="I335" s="31"/>
      <c r="J335" s="31"/>
      <c r="K335" s="31"/>
      <c r="L335" s="31"/>
      <c r="M335" s="31"/>
    </row>
    <row r="336" spans="8:13" ht="15.75" customHeight="1" x14ac:dyDescent="0.3">
      <c r="H336" s="31"/>
      <c r="I336" s="31"/>
      <c r="J336" s="31"/>
      <c r="K336" s="31"/>
      <c r="L336" s="31"/>
      <c r="M336" s="31"/>
    </row>
    <row r="337" spans="8:13" ht="15.75" customHeight="1" x14ac:dyDescent="0.3">
      <c r="H337" s="31"/>
      <c r="I337" s="31"/>
      <c r="J337" s="31"/>
      <c r="K337" s="31"/>
      <c r="L337" s="31"/>
      <c r="M337" s="31"/>
    </row>
    <row r="338" spans="8:13" ht="15.75" customHeight="1" x14ac:dyDescent="0.3">
      <c r="H338" s="31"/>
      <c r="I338" s="31"/>
      <c r="J338" s="31"/>
      <c r="K338" s="31"/>
      <c r="L338" s="31"/>
      <c r="M338" s="31"/>
    </row>
    <row r="339" spans="8:13" ht="15.75" customHeight="1" x14ac:dyDescent="0.3">
      <c r="H339" s="31"/>
      <c r="I339" s="31"/>
      <c r="J339" s="31"/>
      <c r="K339" s="31"/>
      <c r="L339" s="31"/>
      <c r="M339" s="31"/>
    </row>
    <row r="340" spans="8:13" ht="15.75" customHeight="1" x14ac:dyDescent="0.3">
      <c r="H340" s="31"/>
      <c r="I340" s="31"/>
      <c r="J340" s="31"/>
      <c r="K340" s="31"/>
      <c r="L340" s="31"/>
      <c r="M340" s="31"/>
    </row>
    <row r="341" spans="8:13" ht="15.75" customHeight="1" x14ac:dyDescent="0.3">
      <c r="H341" s="31"/>
      <c r="I341" s="31"/>
      <c r="J341" s="31"/>
      <c r="K341" s="31"/>
      <c r="L341" s="31"/>
      <c r="M341" s="31"/>
    </row>
    <row r="342" spans="8:13" ht="15.75" customHeight="1" x14ac:dyDescent="0.3">
      <c r="H342" s="31"/>
      <c r="I342" s="31"/>
      <c r="J342" s="31"/>
      <c r="K342" s="31"/>
      <c r="L342" s="31"/>
      <c r="M342" s="31"/>
    </row>
    <row r="343" spans="8:13" ht="15.75" customHeight="1" x14ac:dyDescent="0.3">
      <c r="H343" s="31"/>
      <c r="I343" s="31"/>
      <c r="J343" s="31"/>
      <c r="K343" s="31"/>
      <c r="L343" s="31"/>
      <c r="M343" s="31"/>
    </row>
    <row r="344" spans="8:13" ht="15.75" customHeight="1" x14ac:dyDescent="0.3">
      <c r="H344" s="31"/>
      <c r="I344" s="31"/>
      <c r="J344" s="31"/>
      <c r="K344" s="31"/>
      <c r="L344" s="31"/>
      <c r="M344" s="31"/>
    </row>
    <row r="345" spans="8:13" ht="15.75" customHeight="1" x14ac:dyDescent="0.3">
      <c r="H345" s="31"/>
      <c r="I345" s="31"/>
      <c r="J345" s="31"/>
      <c r="K345" s="31"/>
      <c r="L345" s="31"/>
      <c r="M345" s="31"/>
    </row>
    <row r="346" spans="8:13" ht="15.75" customHeight="1" x14ac:dyDescent="0.3">
      <c r="H346" s="31"/>
      <c r="I346" s="31"/>
      <c r="J346" s="31"/>
      <c r="K346" s="31"/>
      <c r="L346" s="31"/>
      <c r="M346" s="31"/>
    </row>
    <row r="347" spans="8:13" ht="15.75" customHeight="1" x14ac:dyDescent="0.3">
      <c r="H347" s="31"/>
      <c r="I347" s="31"/>
      <c r="J347" s="31"/>
      <c r="K347" s="31"/>
      <c r="L347" s="31"/>
      <c r="M347" s="31"/>
    </row>
    <row r="348" spans="8:13" ht="15.75" customHeight="1" x14ac:dyDescent="0.3">
      <c r="H348" s="31"/>
      <c r="I348" s="31"/>
      <c r="J348" s="31"/>
      <c r="K348" s="31"/>
      <c r="L348" s="31"/>
      <c r="M348" s="31"/>
    </row>
    <row r="349" spans="8:13" ht="15.75" customHeight="1" x14ac:dyDescent="0.3">
      <c r="H349" s="31"/>
      <c r="I349" s="31"/>
      <c r="J349" s="31"/>
      <c r="K349" s="31"/>
      <c r="L349" s="31"/>
      <c r="M349" s="31"/>
    </row>
    <row r="350" spans="8:13" ht="15.75" customHeight="1" x14ac:dyDescent="0.3">
      <c r="H350" s="31"/>
      <c r="I350" s="31"/>
      <c r="J350" s="31"/>
      <c r="K350" s="31"/>
      <c r="L350" s="31"/>
      <c r="M350" s="31"/>
    </row>
    <row r="351" spans="8:13" ht="15.75" customHeight="1" x14ac:dyDescent="0.3">
      <c r="H351" s="31"/>
      <c r="I351" s="31"/>
      <c r="J351" s="31"/>
      <c r="K351" s="31"/>
      <c r="L351" s="31"/>
      <c r="M351" s="31"/>
    </row>
    <row r="352" spans="8:13" ht="15.75" customHeight="1" x14ac:dyDescent="0.3">
      <c r="H352" s="31"/>
      <c r="I352" s="31"/>
      <c r="J352" s="31"/>
      <c r="K352" s="31"/>
      <c r="L352" s="31"/>
      <c r="M352" s="31"/>
    </row>
    <row r="353" spans="8:13" ht="15.75" customHeight="1" x14ac:dyDescent="0.3">
      <c r="H353" s="31"/>
      <c r="I353" s="31"/>
      <c r="J353" s="31"/>
      <c r="K353" s="31"/>
      <c r="L353" s="31"/>
      <c r="M353" s="31"/>
    </row>
    <row r="354" spans="8:13" ht="15.75" customHeight="1" x14ac:dyDescent="0.3">
      <c r="H354" s="31"/>
      <c r="I354" s="31"/>
      <c r="J354" s="31"/>
      <c r="K354" s="31"/>
      <c r="L354" s="31"/>
      <c r="M354" s="31"/>
    </row>
    <row r="355" spans="8:13" ht="15.75" customHeight="1" x14ac:dyDescent="0.3">
      <c r="H355" s="31"/>
      <c r="I355" s="31"/>
      <c r="J355" s="31"/>
      <c r="K355" s="31"/>
      <c r="L355" s="31"/>
      <c r="M355" s="31"/>
    </row>
    <row r="356" spans="8:13" ht="15.75" customHeight="1" x14ac:dyDescent="0.3">
      <c r="H356" s="31"/>
      <c r="I356" s="31"/>
      <c r="J356" s="31"/>
      <c r="K356" s="31"/>
      <c r="L356" s="31"/>
      <c r="M356" s="31"/>
    </row>
    <row r="357" spans="8:13" ht="15.75" customHeight="1" x14ac:dyDescent="0.3">
      <c r="H357" s="31"/>
      <c r="I357" s="31"/>
      <c r="J357" s="31"/>
      <c r="K357" s="31"/>
      <c r="L357" s="31"/>
      <c r="M357" s="31"/>
    </row>
    <row r="358" spans="8:13" ht="15.75" customHeight="1" x14ac:dyDescent="0.3">
      <c r="H358" s="31"/>
      <c r="I358" s="31"/>
      <c r="J358" s="31"/>
      <c r="K358" s="31"/>
      <c r="L358" s="31"/>
      <c r="M358" s="31"/>
    </row>
    <row r="359" spans="8:13" ht="15.75" customHeight="1" x14ac:dyDescent="0.3">
      <c r="H359" s="31"/>
      <c r="I359" s="31"/>
      <c r="J359" s="31"/>
      <c r="K359" s="31"/>
      <c r="L359" s="31"/>
      <c r="M359" s="31"/>
    </row>
    <row r="360" spans="8:13" ht="15.75" customHeight="1" x14ac:dyDescent="0.3">
      <c r="H360" s="31"/>
      <c r="I360" s="31"/>
      <c r="J360" s="31"/>
      <c r="K360" s="31"/>
      <c r="L360" s="31"/>
      <c r="M360" s="31"/>
    </row>
    <row r="361" spans="8:13" ht="15.75" customHeight="1" x14ac:dyDescent="0.3">
      <c r="H361" s="31"/>
      <c r="I361" s="31"/>
      <c r="J361" s="31"/>
      <c r="K361" s="31"/>
      <c r="L361" s="31"/>
      <c r="M361" s="31"/>
    </row>
    <row r="362" spans="8:13" ht="15.75" customHeight="1" x14ac:dyDescent="0.3">
      <c r="H362" s="31"/>
      <c r="I362" s="31"/>
      <c r="J362" s="31"/>
      <c r="K362" s="31"/>
      <c r="L362" s="31"/>
      <c r="M362" s="31"/>
    </row>
    <row r="363" spans="8:13" ht="15.75" customHeight="1" x14ac:dyDescent="0.3">
      <c r="H363" s="31"/>
      <c r="I363" s="31"/>
      <c r="J363" s="31"/>
      <c r="K363" s="31"/>
      <c r="L363" s="31"/>
      <c r="M363" s="31"/>
    </row>
    <row r="364" spans="8:13" ht="15.75" customHeight="1" x14ac:dyDescent="0.3">
      <c r="H364" s="31"/>
      <c r="I364" s="31"/>
      <c r="J364" s="31"/>
      <c r="K364" s="31"/>
      <c r="L364" s="31"/>
      <c r="M364" s="31"/>
    </row>
    <row r="365" spans="8:13" ht="15.75" customHeight="1" x14ac:dyDescent="0.3">
      <c r="H365" s="31"/>
      <c r="I365" s="31"/>
      <c r="J365" s="31"/>
      <c r="K365" s="31"/>
      <c r="L365" s="31"/>
      <c r="M365" s="31"/>
    </row>
    <row r="366" spans="8:13" ht="15.75" customHeight="1" x14ac:dyDescent="0.3">
      <c r="H366" s="31"/>
      <c r="I366" s="31"/>
      <c r="J366" s="31"/>
      <c r="K366" s="31"/>
      <c r="L366" s="31"/>
      <c r="M366" s="31"/>
    </row>
    <row r="367" spans="8:13" ht="15.75" customHeight="1" x14ac:dyDescent="0.3">
      <c r="H367" s="31"/>
      <c r="I367" s="31"/>
      <c r="J367" s="31"/>
      <c r="K367" s="31"/>
      <c r="L367" s="31"/>
      <c r="M367" s="31"/>
    </row>
    <row r="368" spans="8:13" ht="15.75" customHeight="1" x14ac:dyDescent="0.3">
      <c r="H368" s="31"/>
      <c r="I368" s="31"/>
      <c r="J368" s="31"/>
      <c r="K368" s="31"/>
      <c r="L368" s="31"/>
      <c r="M368" s="31"/>
    </row>
    <row r="369" spans="8:13" ht="15.75" customHeight="1" x14ac:dyDescent="0.3">
      <c r="H369" s="31"/>
      <c r="I369" s="31"/>
      <c r="J369" s="31"/>
      <c r="K369" s="31"/>
      <c r="L369" s="31"/>
      <c r="M369" s="31"/>
    </row>
    <row r="370" spans="8:13" ht="15.75" customHeight="1" x14ac:dyDescent="0.3">
      <c r="H370" s="31"/>
      <c r="I370" s="31"/>
      <c r="J370" s="31"/>
      <c r="K370" s="31"/>
      <c r="L370" s="31"/>
      <c r="M370" s="31"/>
    </row>
    <row r="371" spans="8:13" ht="15.75" customHeight="1" x14ac:dyDescent="0.3">
      <c r="H371" s="31"/>
      <c r="I371" s="31"/>
      <c r="J371" s="31"/>
      <c r="K371" s="31"/>
      <c r="L371" s="31"/>
      <c r="M371" s="31"/>
    </row>
    <row r="372" spans="8:13" ht="15.75" customHeight="1" x14ac:dyDescent="0.3">
      <c r="H372" s="31"/>
      <c r="I372" s="31"/>
      <c r="J372" s="31"/>
      <c r="K372" s="31"/>
      <c r="L372" s="31"/>
      <c r="M372" s="31"/>
    </row>
    <row r="373" spans="8:13" ht="15.75" customHeight="1" x14ac:dyDescent="0.3">
      <c r="H373" s="31"/>
      <c r="I373" s="31"/>
      <c r="J373" s="31"/>
      <c r="K373" s="31"/>
      <c r="L373" s="31"/>
      <c r="M373" s="31"/>
    </row>
    <row r="374" spans="8:13" ht="15.75" customHeight="1" x14ac:dyDescent="0.3">
      <c r="H374" s="31"/>
      <c r="I374" s="31"/>
      <c r="J374" s="31"/>
      <c r="K374" s="31"/>
      <c r="L374" s="31"/>
      <c r="M374" s="31"/>
    </row>
    <row r="375" spans="8:13" ht="15.75" customHeight="1" x14ac:dyDescent="0.3">
      <c r="H375" s="31"/>
      <c r="I375" s="31"/>
      <c r="J375" s="31"/>
      <c r="K375" s="31"/>
      <c r="L375" s="31"/>
      <c r="M375" s="31"/>
    </row>
    <row r="376" spans="8:13" ht="15.75" customHeight="1" x14ac:dyDescent="0.3">
      <c r="H376" s="31"/>
      <c r="I376" s="31"/>
      <c r="J376" s="31"/>
      <c r="K376" s="31"/>
      <c r="L376" s="31"/>
      <c r="M376" s="31"/>
    </row>
    <row r="377" spans="8:13" ht="15.75" customHeight="1" x14ac:dyDescent="0.3">
      <c r="H377" s="31"/>
      <c r="I377" s="31"/>
      <c r="J377" s="31"/>
      <c r="K377" s="31"/>
      <c r="L377" s="31"/>
      <c r="M377" s="31"/>
    </row>
    <row r="378" spans="8:13" ht="15.75" customHeight="1" x14ac:dyDescent="0.3">
      <c r="H378" s="31"/>
      <c r="I378" s="31"/>
      <c r="J378" s="31"/>
      <c r="K378" s="31"/>
      <c r="L378" s="31"/>
      <c r="M378" s="31"/>
    </row>
    <row r="379" spans="8:13" ht="15.75" customHeight="1" x14ac:dyDescent="0.3">
      <c r="H379" s="31"/>
      <c r="I379" s="31"/>
      <c r="J379" s="31"/>
      <c r="K379" s="31"/>
      <c r="L379" s="31"/>
      <c r="M379" s="31"/>
    </row>
    <row r="380" spans="8:13" ht="15.75" customHeight="1" x14ac:dyDescent="0.3">
      <c r="H380" s="31"/>
      <c r="I380" s="31"/>
      <c r="J380" s="31"/>
      <c r="K380" s="31"/>
      <c r="L380" s="31"/>
      <c r="M380" s="31"/>
    </row>
    <row r="381" spans="8:13" ht="15.75" customHeight="1" x14ac:dyDescent="0.3">
      <c r="H381" s="31"/>
      <c r="I381" s="31"/>
      <c r="J381" s="31"/>
      <c r="K381" s="31"/>
      <c r="L381" s="31"/>
      <c r="M381" s="31"/>
    </row>
    <row r="382" spans="8:13" ht="15.75" customHeight="1" x14ac:dyDescent="0.3">
      <c r="H382" s="31"/>
      <c r="I382" s="31"/>
      <c r="J382" s="31"/>
      <c r="K382" s="31"/>
      <c r="L382" s="31"/>
      <c r="M382" s="31"/>
    </row>
    <row r="383" spans="8:13" ht="15.75" customHeight="1" x14ac:dyDescent="0.3">
      <c r="H383" s="31"/>
      <c r="I383" s="31"/>
      <c r="J383" s="31"/>
      <c r="K383" s="31"/>
      <c r="L383" s="31"/>
      <c r="M383" s="31"/>
    </row>
    <row r="384" spans="8:13" ht="15.75" customHeight="1" x14ac:dyDescent="0.3">
      <c r="H384" s="31"/>
      <c r="I384" s="31"/>
      <c r="J384" s="31"/>
      <c r="K384" s="31"/>
      <c r="L384" s="31"/>
      <c r="M384" s="31"/>
    </row>
    <row r="385" spans="8:13" ht="15.75" customHeight="1" x14ac:dyDescent="0.3">
      <c r="H385" s="31"/>
      <c r="I385" s="31"/>
      <c r="J385" s="31"/>
      <c r="K385" s="31"/>
      <c r="L385" s="31"/>
      <c r="M385" s="31"/>
    </row>
    <row r="386" spans="8:13" ht="15.75" customHeight="1" x14ac:dyDescent="0.3">
      <c r="H386" s="31"/>
      <c r="I386" s="31"/>
      <c r="J386" s="31"/>
      <c r="K386" s="31"/>
      <c r="L386" s="31"/>
      <c r="M386" s="31"/>
    </row>
    <row r="387" spans="8:13" ht="15.75" customHeight="1" x14ac:dyDescent="0.3">
      <c r="H387" s="31"/>
      <c r="I387" s="31"/>
      <c r="J387" s="31"/>
      <c r="K387" s="31"/>
      <c r="L387" s="31"/>
      <c r="M387" s="31"/>
    </row>
    <row r="388" spans="8:13" ht="15.75" customHeight="1" x14ac:dyDescent="0.3">
      <c r="H388" s="31"/>
      <c r="I388" s="31"/>
      <c r="J388" s="31"/>
      <c r="K388" s="31"/>
      <c r="L388" s="31"/>
      <c r="M388" s="31"/>
    </row>
    <row r="389" spans="8:13" ht="15.75" customHeight="1" x14ac:dyDescent="0.3">
      <c r="H389" s="31"/>
      <c r="I389" s="31"/>
      <c r="J389" s="31"/>
      <c r="K389" s="31"/>
      <c r="L389" s="31"/>
      <c r="M389" s="31"/>
    </row>
    <row r="390" spans="8:13" ht="15.75" customHeight="1" x14ac:dyDescent="0.3">
      <c r="H390" s="31"/>
      <c r="I390" s="31"/>
      <c r="J390" s="31"/>
      <c r="K390" s="31"/>
      <c r="L390" s="31"/>
      <c r="M390" s="31"/>
    </row>
    <row r="391" spans="8:13" ht="15.75" customHeight="1" x14ac:dyDescent="0.3">
      <c r="H391" s="31"/>
      <c r="I391" s="31"/>
      <c r="J391" s="31"/>
      <c r="K391" s="31"/>
      <c r="L391" s="31"/>
      <c r="M391" s="31"/>
    </row>
    <row r="392" spans="8:13" ht="15.75" customHeight="1" x14ac:dyDescent="0.3">
      <c r="H392" s="31"/>
      <c r="I392" s="31"/>
      <c r="J392" s="31"/>
      <c r="K392" s="31"/>
      <c r="L392" s="31"/>
      <c r="M392" s="31"/>
    </row>
    <row r="393" spans="8:13" ht="15.75" customHeight="1" x14ac:dyDescent="0.3">
      <c r="H393" s="31"/>
      <c r="I393" s="31"/>
      <c r="J393" s="31"/>
      <c r="K393" s="31"/>
      <c r="L393" s="31"/>
      <c r="M393" s="31"/>
    </row>
    <row r="394" spans="8:13" ht="15.75" customHeight="1" x14ac:dyDescent="0.3">
      <c r="H394" s="31"/>
      <c r="I394" s="31"/>
      <c r="J394" s="31"/>
      <c r="K394" s="31"/>
      <c r="L394" s="31"/>
      <c r="M394" s="31"/>
    </row>
    <row r="395" spans="8:13" ht="15.75" customHeight="1" x14ac:dyDescent="0.3">
      <c r="H395" s="31"/>
      <c r="I395" s="31"/>
      <c r="J395" s="31"/>
      <c r="K395" s="31"/>
      <c r="L395" s="31"/>
      <c r="M395" s="31"/>
    </row>
    <row r="396" spans="8:13" ht="15.75" customHeight="1" x14ac:dyDescent="0.3">
      <c r="H396" s="31"/>
      <c r="I396" s="31"/>
      <c r="J396" s="31"/>
      <c r="K396" s="31"/>
      <c r="L396" s="31"/>
      <c r="M396" s="31"/>
    </row>
    <row r="397" spans="8:13" ht="15.75" customHeight="1" x14ac:dyDescent="0.3">
      <c r="H397" s="31"/>
      <c r="I397" s="31"/>
      <c r="J397" s="31"/>
      <c r="K397" s="31"/>
      <c r="L397" s="31"/>
      <c r="M397" s="31"/>
    </row>
    <row r="398" spans="8:13" ht="15.75" customHeight="1" x14ac:dyDescent="0.3">
      <c r="H398" s="31"/>
      <c r="I398" s="31"/>
      <c r="J398" s="31"/>
      <c r="K398" s="31"/>
      <c r="L398" s="31"/>
      <c r="M398" s="31"/>
    </row>
    <row r="399" spans="8:13" ht="15.75" customHeight="1" x14ac:dyDescent="0.3">
      <c r="H399" s="31"/>
      <c r="I399" s="31"/>
      <c r="J399" s="31"/>
      <c r="K399" s="31"/>
      <c r="L399" s="31"/>
      <c r="M399" s="31"/>
    </row>
    <row r="400" spans="8:13" ht="15.75" customHeight="1" x14ac:dyDescent="0.3">
      <c r="H400" s="31"/>
      <c r="I400" s="31"/>
      <c r="J400" s="31"/>
      <c r="K400" s="31"/>
      <c r="L400" s="31"/>
      <c r="M400" s="31"/>
    </row>
    <row r="401" spans="8:13" ht="15.75" customHeight="1" x14ac:dyDescent="0.3">
      <c r="H401" s="31"/>
      <c r="I401" s="31"/>
      <c r="J401" s="31"/>
      <c r="K401" s="31"/>
      <c r="L401" s="31"/>
      <c r="M401" s="31"/>
    </row>
    <row r="402" spans="8:13" ht="15.75" customHeight="1" x14ac:dyDescent="0.3">
      <c r="H402" s="31"/>
      <c r="I402" s="31"/>
      <c r="J402" s="31"/>
      <c r="K402" s="31"/>
      <c r="L402" s="31"/>
      <c r="M402" s="31"/>
    </row>
    <row r="403" spans="8:13" ht="15.75" customHeight="1" x14ac:dyDescent="0.3">
      <c r="H403" s="31"/>
      <c r="I403" s="31"/>
      <c r="J403" s="31"/>
      <c r="K403" s="31"/>
      <c r="L403" s="31"/>
      <c r="M403" s="31"/>
    </row>
    <row r="404" spans="8:13" ht="15.75" customHeight="1" x14ac:dyDescent="0.3">
      <c r="H404" s="31"/>
      <c r="I404" s="31"/>
      <c r="J404" s="31"/>
      <c r="K404" s="31"/>
      <c r="L404" s="31"/>
      <c r="M404" s="31"/>
    </row>
    <row r="405" spans="8:13" ht="15.75" customHeight="1" x14ac:dyDescent="0.3">
      <c r="H405" s="31"/>
      <c r="I405" s="31"/>
      <c r="J405" s="31"/>
      <c r="K405" s="31"/>
      <c r="L405" s="31"/>
      <c r="M405" s="31"/>
    </row>
    <row r="406" spans="8:13" ht="15.75" customHeight="1" x14ac:dyDescent="0.3">
      <c r="H406" s="31"/>
      <c r="I406" s="31"/>
      <c r="J406" s="31"/>
      <c r="K406" s="31"/>
      <c r="L406" s="31"/>
      <c r="M406" s="31"/>
    </row>
    <row r="407" spans="8:13" ht="15.75" customHeight="1" x14ac:dyDescent="0.3">
      <c r="H407" s="31"/>
      <c r="I407" s="31"/>
      <c r="J407" s="31"/>
      <c r="K407" s="31"/>
      <c r="L407" s="31"/>
      <c r="M407" s="31"/>
    </row>
    <row r="408" spans="8:13" ht="15.75" customHeight="1" x14ac:dyDescent="0.3">
      <c r="H408" s="31"/>
      <c r="I408" s="31"/>
      <c r="J408" s="31"/>
      <c r="K408" s="31"/>
      <c r="L408" s="31"/>
      <c r="M408" s="31"/>
    </row>
    <row r="409" spans="8:13" ht="15.75" customHeight="1" x14ac:dyDescent="0.3">
      <c r="H409" s="31"/>
      <c r="I409" s="31"/>
      <c r="J409" s="31"/>
      <c r="K409" s="31"/>
      <c r="L409" s="31"/>
      <c r="M409" s="31"/>
    </row>
    <row r="410" spans="8:13" ht="15.75" customHeight="1" x14ac:dyDescent="0.3">
      <c r="H410" s="31"/>
      <c r="I410" s="31"/>
      <c r="J410" s="31"/>
      <c r="K410" s="31"/>
      <c r="L410" s="31"/>
      <c r="M410" s="31"/>
    </row>
    <row r="411" spans="8:13" ht="15.75" customHeight="1" x14ac:dyDescent="0.3">
      <c r="H411" s="31"/>
      <c r="I411" s="31"/>
      <c r="J411" s="31"/>
      <c r="K411" s="31"/>
      <c r="L411" s="31"/>
      <c r="M411" s="31"/>
    </row>
    <row r="412" spans="8:13" ht="15.75" customHeight="1" x14ac:dyDescent="0.3">
      <c r="H412" s="31"/>
      <c r="I412" s="31"/>
      <c r="J412" s="31"/>
      <c r="K412" s="31"/>
      <c r="L412" s="31"/>
      <c r="M412" s="31"/>
    </row>
    <row r="413" spans="8:13" ht="15.75" customHeight="1" x14ac:dyDescent="0.3">
      <c r="H413" s="31"/>
      <c r="I413" s="31"/>
      <c r="J413" s="31"/>
      <c r="K413" s="31"/>
      <c r="L413" s="31"/>
      <c r="M413" s="31"/>
    </row>
    <row r="414" spans="8:13" ht="15.75" customHeight="1" x14ac:dyDescent="0.3">
      <c r="H414" s="31"/>
      <c r="I414" s="31"/>
      <c r="J414" s="31"/>
      <c r="K414" s="31"/>
      <c r="L414" s="31"/>
      <c r="M414" s="31"/>
    </row>
    <row r="415" spans="8:13" ht="15.75" customHeight="1" x14ac:dyDescent="0.3">
      <c r="H415" s="31"/>
      <c r="I415" s="31"/>
      <c r="J415" s="31"/>
      <c r="K415" s="31"/>
      <c r="L415" s="31"/>
      <c r="M415" s="31"/>
    </row>
    <row r="416" spans="8:13" ht="15.75" customHeight="1" x14ac:dyDescent="0.3">
      <c r="H416" s="31"/>
      <c r="I416" s="31"/>
      <c r="J416" s="31"/>
      <c r="K416" s="31"/>
      <c r="L416" s="31"/>
      <c r="M416" s="31"/>
    </row>
    <row r="417" spans="8:13" ht="15.75" customHeight="1" x14ac:dyDescent="0.3">
      <c r="H417" s="31"/>
      <c r="I417" s="31"/>
      <c r="J417" s="31"/>
      <c r="K417" s="31"/>
      <c r="L417" s="31"/>
      <c r="M417" s="31"/>
    </row>
    <row r="418" spans="8:13" ht="15.75" customHeight="1" x14ac:dyDescent="0.3">
      <c r="H418" s="31"/>
      <c r="I418" s="31"/>
      <c r="J418" s="31"/>
      <c r="K418" s="31"/>
      <c r="L418" s="31"/>
      <c r="M418" s="31"/>
    </row>
    <row r="419" spans="8:13" ht="15.75" customHeight="1" x14ac:dyDescent="0.3">
      <c r="H419" s="31"/>
      <c r="I419" s="31"/>
      <c r="J419" s="31"/>
      <c r="K419" s="31"/>
      <c r="L419" s="31"/>
      <c r="M419" s="31"/>
    </row>
    <row r="420" spans="8:13" ht="15.75" customHeight="1" x14ac:dyDescent="0.3">
      <c r="H420" s="31"/>
      <c r="I420" s="31"/>
      <c r="J420" s="31"/>
      <c r="K420" s="31"/>
      <c r="L420" s="31"/>
      <c r="M420" s="31"/>
    </row>
    <row r="421" spans="8:13" ht="15.75" customHeight="1" x14ac:dyDescent="0.3">
      <c r="H421" s="31"/>
      <c r="I421" s="31"/>
      <c r="J421" s="31"/>
      <c r="K421" s="31"/>
      <c r="L421" s="31"/>
      <c r="M421" s="31"/>
    </row>
    <row r="422" spans="8:13" ht="15.75" customHeight="1" x14ac:dyDescent="0.3">
      <c r="H422" s="31"/>
      <c r="I422" s="31"/>
      <c r="J422" s="31"/>
      <c r="K422" s="31"/>
      <c r="L422" s="31"/>
      <c r="M422" s="31"/>
    </row>
    <row r="423" spans="8:13" ht="15.75" customHeight="1" x14ac:dyDescent="0.3">
      <c r="H423" s="31"/>
      <c r="I423" s="31"/>
      <c r="J423" s="31"/>
      <c r="K423" s="31"/>
      <c r="L423" s="31"/>
      <c r="M423" s="31"/>
    </row>
    <row r="424" spans="8:13" ht="15.75" customHeight="1" x14ac:dyDescent="0.3">
      <c r="H424" s="31"/>
      <c r="I424" s="31"/>
      <c r="J424" s="31"/>
      <c r="K424" s="31"/>
      <c r="L424" s="31"/>
      <c r="M424" s="31"/>
    </row>
    <row r="425" spans="8:13" ht="15.75" customHeight="1" x14ac:dyDescent="0.3">
      <c r="H425" s="31"/>
      <c r="I425" s="31"/>
      <c r="J425" s="31"/>
      <c r="K425" s="31"/>
      <c r="L425" s="31"/>
      <c r="M425" s="31"/>
    </row>
    <row r="426" spans="8:13" ht="15.75" customHeight="1" x14ac:dyDescent="0.3">
      <c r="H426" s="31"/>
      <c r="I426" s="31"/>
      <c r="J426" s="31"/>
      <c r="K426" s="31"/>
      <c r="L426" s="31"/>
      <c r="M426" s="31"/>
    </row>
    <row r="427" spans="8:13" ht="15.75" customHeight="1" x14ac:dyDescent="0.3">
      <c r="H427" s="31"/>
      <c r="I427" s="31"/>
      <c r="J427" s="31"/>
      <c r="K427" s="31"/>
      <c r="L427" s="31"/>
      <c r="M427" s="31"/>
    </row>
    <row r="428" spans="8:13" ht="15.75" customHeight="1" x14ac:dyDescent="0.3">
      <c r="H428" s="31"/>
      <c r="I428" s="31"/>
      <c r="J428" s="31"/>
      <c r="K428" s="31"/>
      <c r="L428" s="31"/>
      <c r="M428" s="31"/>
    </row>
    <row r="429" spans="8:13" ht="15.75" customHeight="1" x14ac:dyDescent="0.3">
      <c r="H429" s="31"/>
      <c r="I429" s="31"/>
      <c r="J429" s="31"/>
      <c r="K429" s="31"/>
      <c r="L429" s="31"/>
      <c r="M429" s="31"/>
    </row>
    <row r="430" spans="8:13" ht="15.75" customHeight="1" x14ac:dyDescent="0.3">
      <c r="H430" s="31"/>
      <c r="I430" s="31"/>
      <c r="J430" s="31"/>
      <c r="K430" s="31"/>
      <c r="L430" s="31"/>
      <c r="M430" s="31"/>
    </row>
    <row r="431" spans="8:13" ht="15.75" customHeight="1" x14ac:dyDescent="0.3">
      <c r="H431" s="31"/>
      <c r="I431" s="31"/>
      <c r="J431" s="31"/>
      <c r="K431" s="31"/>
      <c r="L431" s="31"/>
      <c r="M431" s="31"/>
    </row>
    <row r="432" spans="8:13" ht="15.75" customHeight="1" x14ac:dyDescent="0.3">
      <c r="H432" s="31"/>
      <c r="I432" s="31"/>
      <c r="J432" s="31"/>
      <c r="K432" s="31"/>
      <c r="L432" s="31"/>
      <c r="M432" s="31"/>
    </row>
    <row r="433" spans="8:13" ht="15.75" customHeight="1" x14ac:dyDescent="0.3">
      <c r="H433" s="31"/>
      <c r="I433" s="31"/>
      <c r="J433" s="31"/>
      <c r="K433" s="31"/>
      <c r="L433" s="31"/>
      <c r="M433" s="31"/>
    </row>
    <row r="434" spans="8:13" ht="15.75" customHeight="1" x14ac:dyDescent="0.3">
      <c r="H434" s="31"/>
      <c r="I434" s="31"/>
      <c r="J434" s="31"/>
      <c r="K434" s="31"/>
      <c r="L434" s="31"/>
      <c r="M434" s="31"/>
    </row>
    <row r="435" spans="8:13" ht="15.75" customHeight="1" x14ac:dyDescent="0.3">
      <c r="H435" s="31"/>
      <c r="I435" s="31"/>
      <c r="J435" s="31"/>
      <c r="K435" s="31"/>
      <c r="L435" s="31"/>
      <c r="M435" s="31"/>
    </row>
    <row r="436" spans="8:13" ht="15.75" customHeight="1" x14ac:dyDescent="0.3">
      <c r="H436" s="31"/>
      <c r="I436" s="31"/>
      <c r="J436" s="31"/>
      <c r="K436" s="31"/>
      <c r="L436" s="31"/>
      <c r="M436" s="31"/>
    </row>
    <row r="437" spans="8:13" ht="15.75" customHeight="1" x14ac:dyDescent="0.3">
      <c r="H437" s="31"/>
      <c r="I437" s="31"/>
      <c r="J437" s="31"/>
      <c r="K437" s="31"/>
      <c r="L437" s="31"/>
      <c r="M437" s="31"/>
    </row>
    <row r="438" spans="8:13" ht="15.75" customHeight="1" x14ac:dyDescent="0.3">
      <c r="H438" s="31"/>
      <c r="I438" s="31"/>
      <c r="J438" s="31"/>
      <c r="K438" s="31"/>
      <c r="L438" s="31"/>
      <c r="M438" s="31"/>
    </row>
    <row r="439" spans="8:13" ht="15.75" customHeight="1" x14ac:dyDescent="0.3">
      <c r="H439" s="31"/>
      <c r="I439" s="31"/>
      <c r="J439" s="31"/>
      <c r="K439" s="31"/>
      <c r="L439" s="31"/>
      <c r="M439" s="31"/>
    </row>
    <row r="440" spans="8:13" ht="15.75" customHeight="1" x14ac:dyDescent="0.3">
      <c r="H440" s="31"/>
      <c r="I440" s="31"/>
      <c r="J440" s="31"/>
      <c r="K440" s="31"/>
      <c r="L440" s="31"/>
      <c r="M440" s="31"/>
    </row>
    <row r="441" spans="8:13" ht="15.75" customHeight="1" x14ac:dyDescent="0.3">
      <c r="H441" s="31"/>
      <c r="I441" s="31"/>
      <c r="J441" s="31"/>
      <c r="K441" s="31"/>
      <c r="L441" s="31"/>
      <c r="M441" s="31"/>
    </row>
    <row r="442" spans="8:13" ht="15.75" customHeight="1" x14ac:dyDescent="0.3">
      <c r="H442" s="31"/>
      <c r="I442" s="31"/>
      <c r="J442" s="31"/>
      <c r="K442" s="31"/>
      <c r="L442" s="31"/>
      <c r="M442" s="31"/>
    </row>
    <row r="443" spans="8:13" ht="15.75" customHeight="1" x14ac:dyDescent="0.3">
      <c r="H443" s="31"/>
      <c r="I443" s="31"/>
      <c r="J443" s="31"/>
      <c r="K443" s="31"/>
      <c r="L443" s="31"/>
      <c r="M443" s="31"/>
    </row>
    <row r="444" spans="8:13" ht="15.75" customHeight="1" x14ac:dyDescent="0.3">
      <c r="H444" s="31"/>
      <c r="I444" s="31"/>
      <c r="J444" s="31"/>
      <c r="K444" s="31"/>
      <c r="L444" s="31"/>
      <c r="M444" s="31"/>
    </row>
    <row r="445" spans="8:13" ht="15.75" customHeight="1" x14ac:dyDescent="0.3">
      <c r="H445" s="31"/>
      <c r="I445" s="31"/>
      <c r="J445" s="31"/>
      <c r="K445" s="31"/>
      <c r="L445" s="31"/>
      <c r="M445" s="31"/>
    </row>
    <row r="446" spans="8:13" ht="15.75" customHeight="1" x14ac:dyDescent="0.3">
      <c r="H446" s="31"/>
      <c r="I446" s="31"/>
      <c r="J446" s="31"/>
      <c r="K446" s="31"/>
      <c r="L446" s="31"/>
      <c r="M446" s="31"/>
    </row>
    <row r="447" spans="8:13" ht="15.75" customHeight="1" x14ac:dyDescent="0.3">
      <c r="H447" s="31"/>
      <c r="I447" s="31"/>
      <c r="J447" s="31"/>
      <c r="K447" s="31"/>
      <c r="L447" s="31"/>
      <c r="M447" s="31"/>
    </row>
    <row r="448" spans="8:13" ht="15.75" customHeight="1" x14ac:dyDescent="0.3">
      <c r="H448" s="31"/>
      <c r="I448" s="31"/>
      <c r="J448" s="31"/>
      <c r="K448" s="31"/>
      <c r="L448" s="31"/>
      <c r="M448" s="31"/>
    </row>
    <row r="449" spans="8:13" ht="15.75" customHeight="1" x14ac:dyDescent="0.3">
      <c r="H449" s="31"/>
      <c r="I449" s="31"/>
      <c r="J449" s="31"/>
      <c r="K449" s="31"/>
      <c r="L449" s="31"/>
      <c r="M449" s="31"/>
    </row>
    <row r="450" spans="8:13" ht="15.75" customHeight="1" x14ac:dyDescent="0.3">
      <c r="H450" s="31"/>
      <c r="I450" s="31"/>
      <c r="J450" s="31"/>
      <c r="K450" s="31"/>
      <c r="L450" s="31"/>
      <c r="M450" s="31"/>
    </row>
    <row r="451" spans="8:13" ht="15.75" customHeight="1" x14ac:dyDescent="0.3">
      <c r="H451" s="31"/>
      <c r="I451" s="31"/>
      <c r="J451" s="31"/>
      <c r="K451" s="31"/>
      <c r="L451" s="31"/>
      <c r="M451" s="31"/>
    </row>
    <row r="452" spans="8:13" ht="15.75" customHeight="1" x14ac:dyDescent="0.3">
      <c r="H452" s="31"/>
      <c r="I452" s="31"/>
      <c r="J452" s="31"/>
      <c r="K452" s="31"/>
      <c r="L452" s="31"/>
      <c r="M452" s="31"/>
    </row>
    <row r="453" spans="8:13" ht="15.75" customHeight="1" x14ac:dyDescent="0.3">
      <c r="H453" s="31"/>
      <c r="I453" s="31"/>
      <c r="J453" s="31"/>
      <c r="K453" s="31"/>
      <c r="L453" s="31"/>
      <c r="M453" s="31"/>
    </row>
    <row r="454" spans="8:13" ht="15.75" customHeight="1" x14ac:dyDescent="0.3">
      <c r="H454" s="31"/>
      <c r="I454" s="31"/>
      <c r="J454" s="31"/>
      <c r="K454" s="31"/>
      <c r="L454" s="31"/>
      <c r="M454" s="31"/>
    </row>
    <row r="455" spans="8:13" ht="15.75" customHeight="1" x14ac:dyDescent="0.3">
      <c r="H455" s="31"/>
      <c r="I455" s="31"/>
      <c r="J455" s="31"/>
      <c r="K455" s="31"/>
      <c r="L455" s="31"/>
      <c r="M455" s="31"/>
    </row>
    <row r="456" spans="8:13" ht="15.75" customHeight="1" x14ac:dyDescent="0.3">
      <c r="H456" s="31"/>
      <c r="I456" s="31"/>
      <c r="J456" s="31"/>
      <c r="K456" s="31"/>
      <c r="L456" s="31"/>
      <c r="M456" s="31"/>
    </row>
    <row r="457" spans="8:13" ht="15.75" customHeight="1" x14ac:dyDescent="0.3">
      <c r="H457" s="31"/>
      <c r="I457" s="31"/>
      <c r="J457" s="31"/>
      <c r="K457" s="31"/>
      <c r="L457" s="31"/>
      <c r="M457" s="31"/>
    </row>
    <row r="458" spans="8:13" ht="15.75" customHeight="1" x14ac:dyDescent="0.3">
      <c r="H458" s="31"/>
      <c r="I458" s="31"/>
      <c r="J458" s="31"/>
      <c r="K458" s="31"/>
      <c r="L458" s="31"/>
      <c r="M458" s="31"/>
    </row>
    <row r="459" spans="8:13" ht="15.75" customHeight="1" x14ac:dyDescent="0.3">
      <c r="H459" s="31"/>
      <c r="I459" s="31"/>
      <c r="J459" s="31"/>
      <c r="K459" s="31"/>
      <c r="L459" s="31"/>
      <c r="M459" s="31"/>
    </row>
    <row r="460" spans="8:13" ht="15.75" customHeight="1" x14ac:dyDescent="0.3">
      <c r="H460" s="31"/>
      <c r="I460" s="31"/>
      <c r="J460" s="31"/>
      <c r="K460" s="31"/>
      <c r="L460" s="31"/>
      <c r="M460" s="31"/>
    </row>
    <row r="461" spans="8:13" ht="15.75" customHeight="1" x14ac:dyDescent="0.3">
      <c r="H461" s="31"/>
      <c r="I461" s="31"/>
      <c r="J461" s="31"/>
      <c r="K461" s="31"/>
      <c r="L461" s="31"/>
      <c r="M461" s="31"/>
    </row>
    <row r="462" spans="8:13" ht="15.75" customHeight="1" x14ac:dyDescent="0.3">
      <c r="H462" s="31"/>
      <c r="I462" s="31"/>
      <c r="J462" s="31"/>
      <c r="K462" s="31"/>
      <c r="L462" s="31"/>
      <c r="M462" s="31"/>
    </row>
    <row r="463" spans="8:13" ht="15.75" customHeight="1" x14ac:dyDescent="0.3">
      <c r="H463" s="31"/>
      <c r="I463" s="31"/>
      <c r="J463" s="31"/>
      <c r="K463" s="31"/>
      <c r="L463" s="31"/>
      <c r="M463" s="31"/>
    </row>
    <row r="464" spans="8:13" ht="15.75" customHeight="1" x14ac:dyDescent="0.3">
      <c r="H464" s="31"/>
      <c r="I464" s="31"/>
      <c r="J464" s="31"/>
      <c r="K464" s="31"/>
      <c r="L464" s="31"/>
      <c r="M464" s="31"/>
    </row>
    <row r="465" spans="8:13" ht="15.75" customHeight="1" x14ac:dyDescent="0.3">
      <c r="H465" s="31"/>
      <c r="I465" s="31"/>
      <c r="J465" s="31"/>
      <c r="K465" s="31"/>
      <c r="L465" s="31"/>
      <c r="M465" s="31"/>
    </row>
    <row r="466" spans="8:13" ht="15.75" customHeight="1" x14ac:dyDescent="0.3">
      <c r="H466" s="31"/>
      <c r="I466" s="31"/>
      <c r="J466" s="31"/>
      <c r="K466" s="31"/>
      <c r="L466" s="31"/>
      <c r="M466" s="31"/>
    </row>
    <row r="467" spans="8:13" ht="15.75" customHeight="1" x14ac:dyDescent="0.3">
      <c r="H467" s="31"/>
      <c r="I467" s="31"/>
      <c r="J467" s="31"/>
      <c r="K467" s="31"/>
      <c r="L467" s="31"/>
      <c r="M467" s="31"/>
    </row>
    <row r="468" spans="8:13" ht="15.75" customHeight="1" x14ac:dyDescent="0.3">
      <c r="H468" s="31"/>
      <c r="I468" s="31"/>
      <c r="J468" s="31"/>
      <c r="K468" s="31"/>
      <c r="L468" s="31"/>
      <c r="M468" s="31"/>
    </row>
    <row r="469" spans="8:13" ht="15.75" customHeight="1" x14ac:dyDescent="0.3">
      <c r="H469" s="31"/>
      <c r="I469" s="31"/>
      <c r="J469" s="31"/>
      <c r="K469" s="31"/>
      <c r="L469" s="31"/>
      <c r="M469" s="31"/>
    </row>
    <row r="470" spans="8:13" ht="15.75" customHeight="1" x14ac:dyDescent="0.3">
      <c r="H470" s="31"/>
      <c r="I470" s="31"/>
      <c r="J470" s="31"/>
      <c r="K470" s="31"/>
      <c r="L470" s="31"/>
      <c r="M470" s="31"/>
    </row>
    <row r="471" spans="8:13" ht="15.75" customHeight="1" x14ac:dyDescent="0.3">
      <c r="H471" s="31"/>
      <c r="I471" s="31"/>
      <c r="J471" s="31"/>
      <c r="K471" s="31"/>
      <c r="L471" s="31"/>
      <c r="M471" s="31"/>
    </row>
    <row r="472" spans="8:13" ht="15.75" customHeight="1" x14ac:dyDescent="0.3">
      <c r="H472" s="31"/>
      <c r="I472" s="31"/>
      <c r="J472" s="31"/>
      <c r="K472" s="31"/>
      <c r="L472" s="31"/>
      <c r="M472" s="31"/>
    </row>
    <row r="473" spans="8:13" ht="15.75" customHeight="1" x14ac:dyDescent="0.3">
      <c r="H473" s="31"/>
      <c r="I473" s="31"/>
      <c r="J473" s="31"/>
      <c r="K473" s="31"/>
      <c r="L473" s="31"/>
      <c r="M473" s="31"/>
    </row>
    <row r="474" spans="8:13" ht="15.75" customHeight="1" x14ac:dyDescent="0.3">
      <c r="H474" s="31"/>
      <c r="I474" s="31"/>
      <c r="J474" s="31"/>
      <c r="K474" s="31"/>
      <c r="L474" s="31"/>
      <c r="M474" s="31"/>
    </row>
    <row r="475" spans="8:13" ht="15.75" customHeight="1" x14ac:dyDescent="0.3">
      <c r="H475" s="31"/>
      <c r="I475" s="31"/>
      <c r="J475" s="31"/>
      <c r="K475" s="31"/>
      <c r="L475" s="31"/>
      <c r="M475" s="31"/>
    </row>
    <row r="476" spans="8:13" ht="15.75" customHeight="1" x14ac:dyDescent="0.3">
      <c r="H476" s="31"/>
      <c r="I476" s="31"/>
      <c r="J476" s="31"/>
      <c r="K476" s="31"/>
      <c r="L476" s="31"/>
      <c r="M476" s="31"/>
    </row>
    <row r="477" spans="8:13" ht="15.75" customHeight="1" x14ac:dyDescent="0.3">
      <c r="H477" s="31"/>
      <c r="I477" s="31"/>
      <c r="J477" s="31"/>
      <c r="K477" s="31"/>
      <c r="L477" s="31"/>
      <c r="M477" s="31"/>
    </row>
    <row r="478" spans="8:13" ht="15.75" customHeight="1" x14ac:dyDescent="0.3">
      <c r="H478" s="31"/>
      <c r="I478" s="31"/>
      <c r="J478" s="31"/>
      <c r="K478" s="31"/>
      <c r="L478" s="31"/>
      <c r="M478" s="31"/>
    </row>
    <row r="479" spans="8:13" ht="15.75" customHeight="1" x14ac:dyDescent="0.3">
      <c r="H479" s="31"/>
      <c r="I479" s="31"/>
      <c r="J479" s="31"/>
      <c r="K479" s="31"/>
      <c r="L479" s="31"/>
      <c r="M479" s="31"/>
    </row>
    <row r="480" spans="8:13" ht="15.75" customHeight="1" x14ac:dyDescent="0.3">
      <c r="H480" s="31"/>
      <c r="I480" s="31"/>
      <c r="J480" s="31"/>
      <c r="K480" s="31"/>
      <c r="L480" s="31"/>
      <c r="M480" s="31"/>
    </row>
    <row r="481" spans="8:13" ht="15.75" customHeight="1" x14ac:dyDescent="0.3">
      <c r="H481" s="31"/>
      <c r="I481" s="31"/>
      <c r="J481" s="31"/>
      <c r="K481" s="31"/>
      <c r="L481" s="31"/>
      <c r="M481" s="31"/>
    </row>
    <row r="482" spans="8:13" ht="15.75" customHeight="1" x14ac:dyDescent="0.3">
      <c r="H482" s="31"/>
      <c r="I482" s="31"/>
      <c r="J482" s="31"/>
      <c r="K482" s="31"/>
      <c r="L482" s="31"/>
      <c r="M482" s="31"/>
    </row>
    <row r="483" spans="8:13" ht="15.75" customHeight="1" x14ac:dyDescent="0.3">
      <c r="H483" s="31"/>
      <c r="I483" s="31"/>
      <c r="J483" s="31"/>
      <c r="K483" s="31"/>
      <c r="L483" s="31"/>
      <c r="M483" s="31"/>
    </row>
    <row r="484" spans="8:13" ht="15.75" customHeight="1" x14ac:dyDescent="0.3">
      <c r="H484" s="31"/>
      <c r="I484" s="31"/>
      <c r="J484" s="31"/>
      <c r="K484" s="31"/>
      <c r="L484" s="31"/>
      <c r="M484" s="31"/>
    </row>
    <row r="485" spans="8:13" ht="15.75" customHeight="1" x14ac:dyDescent="0.3">
      <c r="H485" s="31"/>
      <c r="I485" s="31"/>
      <c r="J485" s="31"/>
      <c r="K485" s="31"/>
      <c r="L485" s="31"/>
      <c r="M485" s="31"/>
    </row>
    <row r="486" spans="8:13" ht="15.75" customHeight="1" x14ac:dyDescent="0.3">
      <c r="H486" s="31"/>
      <c r="I486" s="31"/>
      <c r="J486" s="31"/>
      <c r="K486" s="31"/>
      <c r="L486" s="31"/>
      <c r="M486" s="31"/>
    </row>
    <row r="487" spans="8:13" ht="15.75" customHeight="1" x14ac:dyDescent="0.3">
      <c r="H487" s="31"/>
      <c r="I487" s="31"/>
      <c r="J487" s="31"/>
      <c r="K487" s="31"/>
      <c r="L487" s="31"/>
      <c r="M487" s="31"/>
    </row>
    <row r="488" spans="8:13" ht="15.75" customHeight="1" x14ac:dyDescent="0.3">
      <c r="H488" s="31"/>
      <c r="I488" s="31"/>
      <c r="J488" s="31"/>
      <c r="K488" s="31"/>
      <c r="L488" s="31"/>
      <c r="M488" s="31"/>
    </row>
    <row r="489" spans="8:13" ht="15.75" customHeight="1" x14ac:dyDescent="0.3">
      <c r="H489" s="31"/>
      <c r="I489" s="31"/>
      <c r="J489" s="31"/>
      <c r="K489" s="31"/>
      <c r="L489" s="31"/>
      <c r="M489" s="31"/>
    </row>
    <row r="490" spans="8:13" ht="15.75" customHeight="1" x14ac:dyDescent="0.3">
      <c r="H490" s="31"/>
      <c r="I490" s="31"/>
      <c r="J490" s="31"/>
      <c r="K490" s="31"/>
      <c r="L490" s="31"/>
      <c r="M490" s="31"/>
    </row>
    <row r="491" spans="8:13" ht="15.75" customHeight="1" x14ac:dyDescent="0.3">
      <c r="H491" s="31"/>
      <c r="I491" s="31"/>
      <c r="J491" s="31"/>
      <c r="K491" s="31"/>
      <c r="L491" s="31"/>
      <c r="M491" s="31"/>
    </row>
    <row r="492" spans="8:13" ht="15.75" customHeight="1" x14ac:dyDescent="0.3">
      <c r="H492" s="31"/>
      <c r="I492" s="31"/>
      <c r="J492" s="31"/>
      <c r="K492" s="31"/>
      <c r="L492" s="31"/>
      <c r="M492" s="31"/>
    </row>
    <row r="493" spans="8:13" ht="15.75" customHeight="1" x14ac:dyDescent="0.3">
      <c r="H493" s="31"/>
      <c r="I493" s="31"/>
      <c r="J493" s="31"/>
      <c r="K493" s="31"/>
      <c r="L493" s="31"/>
      <c r="M493" s="31"/>
    </row>
    <row r="494" spans="8:13" ht="15.75" customHeight="1" x14ac:dyDescent="0.3">
      <c r="H494" s="31"/>
      <c r="I494" s="31"/>
      <c r="J494" s="31"/>
      <c r="K494" s="31"/>
      <c r="L494" s="31"/>
      <c r="M494" s="31"/>
    </row>
    <row r="495" spans="8:13" ht="15.75" customHeight="1" x14ac:dyDescent="0.3">
      <c r="H495" s="31"/>
      <c r="I495" s="31"/>
      <c r="J495" s="31"/>
      <c r="K495" s="31"/>
      <c r="L495" s="31"/>
      <c r="M495" s="31"/>
    </row>
    <row r="496" spans="8:13" ht="15.75" customHeight="1" x14ac:dyDescent="0.3">
      <c r="H496" s="31"/>
      <c r="I496" s="31"/>
      <c r="J496" s="31"/>
      <c r="K496" s="31"/>
      <c r="L496" s="31"/>
      <c r="M496" s="31"/>
    </row>
    <row r="497" spans="8:13" ht="15.75" customHeight="1" x14ac:dyDescent="0.3">
      <c r="H497" s="31"/>
      <c r="I497" s="31"/>
      <c r="J497" s="31"/>
      <c r="K497" s="31"/>
      <c r="L497" s="31"/>
      <c r="M497" s="31"/>
    </row>
    <row r="498" spans="8:13" ht="15.75" customHeight="1" x14ac:dyDescent="0.3">
      <c r="H498" s="31"/>
      <c r="I498" s="31"/>
      <c r="J498" s="31"/>
      <c r="K498" s="31"/>
      <c r="L498" s="31"/>
      <c r="M498" s="31"/>
    </row>
    <row r="499" spans="8:13" ht="15.75" customHeight="1" x14ac:dyDescent="0.3">
      <c r="H499" s="31"/>
      <c r="I499" s="31"/>
      <c r="J499" s="31"/>
      <c r="K499" s="31"/>
      <c r="L499" s="31"/>
      <c r="M499" s="31"/>
    </row>
    <row r="500" spans="8:13" ht="15.75" customHeight="1" x14ac:dyDescent="0.3">
      <c r="H500" s="31"/>
      <c r="I500" s="31"/>
      <c r="J500" s="31"/>
      <c r="K500" s="31"/>
      <c r="L500" s="31"/>
      <c r="M500" s="31"/>
    </row>
    <row r="501" spans="8:13" ht="15.75" customHeight="1" x14ac:dyDescent="0.3">
      <c r="H501" s="31"/>
      <c r="I501" s="31"/>
      <c r="J501" s="31"/>
      <c r="K501" s="31"/>
      <c r="L501" s="31"/>
      <c r="M501" s="31"/>
    </row>
    <row r="502" spans="8:13" ht="15.75" customHeight="1" x14ac:dyDescent="0.3">
      <c r="H502" s="31"/>
      <c r="I502" s="31"/>
      <c r="J502" s="31"/>
      <c r="K502" s="31"/>
      <c r="L502" s="31"/>
      <c r="M502" s="31"/>
    </row>
    <row r="503" spans="8:13" ht="15.75" customHeight="1" x14ac:dyDescent="0.3">
      <c r="H503" s="31"/>
      <c r="I503" s="31"/>
      <c r="J503" s="31"/>
      <c r="K503" s="31"/>
      <c r="L503" s="31"/>
      <c r="M503" s="31"/>
    </row>
    <row r="504" spans="8:13" ht="15.75" customHeight="1" x14ac:dyDescent="0.3">
      <c r="H504" s="31"/>
      <c r="I504" s="31"/>
      <c r="J504" s="31"/>
      <c r="K504" s="31"/>
      <c r="L504" s="31"/>
      <c r="M504" s="31"/>
    </row>
    <row r="505" spans="8:13" ht="15.75" customHeight="1" x14ac:dyDescent="0.3">
      <c r="H505" s="31"/>
      <c r="I505" s="31"/>
      <c r="J505" s="31"/>
      <c r="K505" s="31"/>
      <c r="L505" s="31"/>
      <c r="M505" s="31"/>
    </row>
    <row r="506" spans="8:13" ht="15.75" customHeight="1" x14ac:dyDescent="0.3">
      <c r="H506" s="31"/>
      <c r="I506" s="31"/>
      <c r="J506" s="31"/>
      <c r="K506" s="31"/>
      <c r="L506" s="31"/>
      <c r="M506" s="31"/>
    </row>
    <row r="507" spans="8:13" ht="15.75" customHeight="1" x14ac:dyDescent="0.3">
      <c r="H507" s="31"/>
      <c r="I507" s="31"/>
      <c r="J507" s="31"/>
      <c r="K507" s="31"/>
      <c r="L507" s="31"/>
      <c r="M507" s="31"/>
    </row>
    <row r="508" spans="8:13" ht="15.75" customHeight="1" x14ac:dyDescent="0.3">
      <c r="H508" s="31"/>
      <c r="I508" s="31"/>
      <c r="J508" s="31"/>
      <c r="K508" s="31"/>
      <c r="L508" s="31"/>
      <c r="M508" s="31"/>
    </row>
    <row r="509" spans="8:13" ht="15.75" customHeight="1" x14ac:dyDescent="0.3">
      <c r="H509" s="31"/>
      <c r="I509" s="31"/>
      <c r="J509" s="31"/>
      <c r="K509" s="31"/>
      <c r="L509" s="31"/>
      <c r="M509" s="31"/>
    </row>
    <row r="510" spans="8:13" ht="15.75" customHeight="1" x14ac:dyDescent="0.3">
      <c r="H510" s="31"/>
      <c r="I510" s="31"/>
      <c r="J510" s="31"/>
      <c r="K510" s="31"/>
      <c r="L510" s="31"/>
      <c r="M510" s="31"/>
    </row>
    <row r="511" spans="8:13" ht="15.75" customHeight="1" x14ac:dyDescent="0.3">
      <c r="H511" s="31"/>
      <c r="I511" s="31"/>
      <c r="J511" s="31"/>
      <c r="K511" s="31"/>
      <c r="L511" s="31"/>
      <c r="M511" s="31"/>
    </row>
    <row r="512" spans="8:13" ht="15.75" customHeight="1" x14ac:dyDescent="0.3">
      <c r="H512" s="31"/>
      <c r="I512" s="31"/>
      <c r="J512" s="31"/>
      <c r="K512" s="31"/>
      <c r="L512" s="31"/>
      <c r="M512" s="31"/>
    </row>
    <row r="513" spans="8:13" ht="15.75" customHeight="1" x14ac:dyDescent="0.3">
      <c r="H513" s="31"/>
      <c r="I513" s="31"/>
      <c r="J513" s="31"/>
      <c r="K513" s="31"/>
      <c r="L513" s="31"/>
      <c r="M513" s="31"/>
    </row>
    <row r="514" spans="8:13" ht="15.75" customHeight="1" x14ac:dyDescent="0.3">
      <c r="H514" s="31"/>
      <c r="I514" s="31"/>
      <c r="J514" s="31"/>
      <c r="K514" s="31"/>
      <c r="L514" s="31"/>
      <c r="M514" s="31"/>
    </row>
    <row r="515" spans="8:13" ht="15.75" customHeight="1" x14ac:dyDescent="0.3">
      <c r="H515" s="31"/>
      <c r="I515" s="31"/>
      <c r="J515" s="31"/>
      <c r="K515" s="31"/>
      <c r="L515" s="31"/>
      <c r="M515" s="31"/>
    </row>
    <row r="516" spans="8:13" ht="15.75" customHeight="1" x14ac:dyDescent="0.3">
      <c r="H516" s="31"/>
      <c r="I516" s="31"/>
      <c r="J516" s="31"/>
      <c r="K516" s="31"/>
      <c r="L516" s="31"/>
      <c r="M516" s="31"/>
    </row>
    <row r="517" spans="8:13" ht="15.75" customHeight="1" x14ac:dyDescent="0.3">
      <c r="H517" s="31"/>
      <c r="I517" s="31"/>
      <c r="J517" s="31"/>
      <c r="K517" s="31"/>
      <c r="L517" s="31"/>
      <c r="M517" s="31"/>
    </row>
    <row r="518" spans="8:13" ht="15.75" customHeight="1" x14ac:dyDescent="0.3">
      <c r="H518" s="31"/>
      <c r="I518" s="31"/>
      <c r="J518" s="31"/>
      <c r="K518" s="31"/>
      <c r="L518" s="31"/>
      <c r="M518" s="31"/>
    </row>
    <row r="519" spans="8:13" ht="15.75" customHeight="1" x14ac:dyDescent="0.3">
      <c r="H519" s="31"/>
      <c r="I519" s="31"/>
      <c r="J519" s="31"/>
      <c r="K519" s="31"/>
      <c r="L519" s="31"/>
      <c r="M519" s="31"/>
    </row>
    <row r="520" spans="8:13" ht="15.75" customHeight="1" x14ac:dyDescent="0.3">
      <c r="H520" s="31"/>
      <c r="I520" s="31"/>
      <c r="J520" s="31"/>
      <c r="K520" s="31"/>
      <c r="L520" s="31"/>
      <c r="M520" s="31"/>
    </row>
    <row r="521" spans="8:13" ht="15.75" customHeight="1" x14ac:dyDescent="0.3">
      <c r="H521" s="31"/>
      <c r="I521" s="31"/>
      <c r="J521" s="31"/>
      <c r="K521" s="31"/>
      <c r="L521" s="31"/>
      <c r="M521" s="31"/>
    </row>
    <row r="522" spans="8:13" ht="15.75" customHeight="1" x14ac:dyDescent="0.3">
      <c r="H522" s="31"/>
      <c r="I522" s="31"/>
      <c r="J522" s="31"/>
      <c r="K522" s="31"/>
      <c r="L522" s="31"/>
      <c r="M522" s="31"/>
    </row>
    <row r="523" spans="8:13" ht="15.75" customHeight="1" x14ac:dyDescent="0.3">
      <c r="H523" s="31"/>
      <c r="I523" s="31"/>
      <c r="J523" s="31"/>
      <c r="K523" s="31"/>
      <c r="L523" s="31"/>
      <c r="M523" s="31"/>
    </row>
    <row r="524" spans="8:13" ht="15.75" customHeight="1" x14ac:dyDescent="0.3">
      <c r="H524" s="31"/>
      <c r="I524" s="31"/>
      <c r="J524" s="31"/>
      <c r="K524" s="31"/>
      <c r="L524" s="31"/>
      <c r="M524" s="31"/>
    </row>
    <row r="525" spans="8:13" ht="15.75" customHeight="1" x14ac:dyDescent="0.3">
      <c r="H525" s="31"/>
      <c r="I525" s="31"/>
      <c r="J525" s="31"/>
      <c r="K525" s="31"/>
      <c r="L525" s="31"/>
      <c r="M525" s="31"/>
    </row>
    <row r="526" spans="8:13" ht="15.75" customHeight="1" x14ac:dyDescent="0.3">
      <c r="H526" s="31"/>
      <c r="I526" s="31"/>
      <c r="J526" s="31"/>
      <c r="K526" s="31"/>
      <c r="L526" s="31"/>
      <c r="M526" s="31"/>
    </row>
    <row r="527" spans="8:13" ht="15.75" customHeight="1" x14ac:dyDescent="0.3">
      <c r="H527" s="31"/>
      <c r="I527" s="31"/>
      <c r="J527" s="31"/>
      <c r="K527" s="31"/>
      <c r="L527" s="31"/>
      <c r="M527" s="31"/>
    </row>
    <row r="528" spans="8:13" ht="15.75" customHeight="1" x14ac:dyDescent="0.3">
      <c r="H528" s="31"/>
      <c r="I528" s="31"/>
      <c r="J528" s="31"/>
      <c r="K528" s="31"/>
      <c r="L528" s="31"/>
      <c r="M528" s="31"/>
    </row>
    <row r="529" spans="8:13" ht="15.75" customHeight="1" x14ac:dyDescent="0.3">
      <c r="H529" s="31"/>
      <c r="I529" s="31"/>
      <c r="J529" s="31"/>
      <c r="K529" s="31"/>
      <c r="L529" s="31"/>
      <c r="M529" s="31"/>
    </row>
    <row r="530" spans="8:13" ht="15.75" customHeight="1" x14ac:dyDescent="0.3">
      <c r="H530" s="31"/>
      <c r="I530" s="31"/>
      <c r="J530" s="31"/>
      <c r="K530" s="31"/>
      <c r="L530" s="31"/>
      <c r="M530" s="31"/>
    </row>
    <row r="531" spans="8:13" ht="15.75" customHeight="1" x14ac:dyDescent="0.3">
      <c r="H531" s="31"/>
      <c r="I531" s="31"/>
      <c r="J531" s="31"/>
      <c r="K531" s="31"/>
      <c r="L531" s="31"/>
      <c r="M531" s="31"/>
    </row>
    <row r="532" spans="8:13" ht="15.75" customHeight="1" x14ac:dyDescent="0.3">
      <c r="H532" s="31"/>
      <c r="I532" s="31"/>
      <c r="J532" s="31"/>
      <c r="K532" s="31"/>
      <c r="L532" s="31"/>
      <c r="M532" s="31"/>
    </row>
    <row r="533" spans="8:13" ht="15.75" customHeight="1" x14ac:dyDescent="0.3">
      <c r="H533" s="31"/>
      <c r="I533" s="31"/>
      <c r="J533" s="31"/>
      <c r="K533" s="31"/>
      <c r="L533" s="31"/>
      <c r="M533" s="31"/>
    </row>
    <row r="534" spans="8:13" ht="15.75" customHeight="1" x14ac:dyDescent="0.3">
      <c r="H534" s="31"/>
      <c r="I534" s="31"/>
      <c r="J534" s="31"/>
      <c r="K534" s="31"/>
      <c r="L534" s="31"/>
      <c r="M534" s="31"/>
    </row>
    <row r="535" spans="8:13" ht="15.75" customHeight="1" x14ac:dyDescent="0.3">
      <c r="H535" s="31"/>
      <c r="I535" s="31"/>
      <c r="J535" s="31"/>
      <c r="K535" s="31"/>
      <c r="L535" s="31"/>
      <c r="M535" s="31"/>
    </row>
    <row r="536" spans="8:13" ht="15.75" customHeight="1" x14ac:dyDescent="0.3">
      <c r="H536" s="31"/>
      <c r="I536" s="31"/>
      <c r="J536" s="31"/>
      <c r="K536" s="31"/>
      <c r="L536" s="31"/>
      <c r="M536" s="31"/>
    </row>
    <row r="537" spans="8:13" ht="15.75" customHeight="1" x14ac:dyDescent="0.3">
      <c r="H537" s="31"/>
      <c r="I537" s="31"/>
      <c r="J537" s="31"/>
      <c r="K537" s="31"/>
      <c r="L537" s="31"/>
      <c r="M537" s="31"/>
    </row>
    <row r="538" spans="8:13" ht="15.75" customHeight="1" x14ac:dyDescent="0.3">
      <c r="H538" s="31"/>
      <c r="I538" s="31"/>
      <c r="J538" s="31"/>
      <c r="K538" s="31"/>
      <c r="L538" s="31"/>
      <c r="M538" s="31"/>
    </row>
    <row r="539" spans="8:13" ht="15.75" customHeight="1" x14ac:dyDescent="0.3">
      <c r="H539" s="31"/>
      <c r="I539" s="31"/>
      <c r="J539" s="31"/>
      <c r="K539" s="31"/>
      <c r="L539" s="31"/>
      <c r="M539" s="31"/>
    </row>
    <row r="540" spans="8:13" ht="15.75" customHeight="1" x14ac:dyDescent="0.3">
      <c r="H540" s="31"/>
      <c r="I540" s="31"/>
      <c r="J540" s="31"/>
      <c r="K540" s="31"/>
      <c r="L540" s="31"/>
      <c r="M540" s="31"/>
    </row>
    <row r="541" spans="8:13" ht="15.75" customHeight="1" x14ac:dyDescent="0.3">
      <c r="H541" s="31"/>
      <c r="I541" s="31"/>
      <c r="J541" s="31"/>
      <c r="K541" s="31"/>
      <c r="L541" s="31"/>
      <c r="M541" s="31"/>
    </row>
    <row r="542" spans="8:13" ht="15.75" customHeight="1" x14ac:dyDescent="0.3">
      <c r="H542" s="31"/>
      <c r="I542" s="31"/>
      <c r="J542" s="31"/>
      <c r="K542" s="31"/>
      <c r="L542" s="31"/>
      <c r="M542" s="31"/>
    </row>
    <row r="543" spans="8:13" ht="15.75" customHeight="1" x14ac:dyDescent="0.3">
      <c r="H543" s="31"/>
      <c r="I543" s="31"/>
      <c r="J543" s="31"/>
      <c r="K543" s="31"/>
      <c r="L543" s="31"/>
      <c r="M543" s="31"/>
    </row>
    <row r="544" spans="8:13" ht="15.75" customHeight="1" x14ac:dyDescent="0.3">
      <c r="H544" s="31"/>
      <c r="I544" s="31"/>
      <c r="J544" s="31"/>
      <c r="K544" s="31"/>
      <c r="L544" s="31"/>
      <c r="M544" s="31"/>
    </row>
    <row r="545" spans="8:13" ht="15.75" customHeight="1" x14ac:dyDescent="0.3">
      <c r="H545" s="31"/>
      <c r="I545" s="31"/>
      <c r="J545" s="31"/>
      <c r="K545" s="31"/>
      <c r="L545" s="31"/>
      <c r="M545" s="31"/>
    </row>
    <row r="546" spans="8:13" ht="15.75" customHeight="1" x14ac:dyDescent="0.3">
      <c r="H546" s="31"/>
      <c r="I546" s="31"/>
      <c r="J546" s="31"/>
      <c r="K546" s="31"/>
      <c r="L546" s="31"/>
      <c r="M546" s="31"/>
    </row>
    <row r="547" spans="8:13" ht="15.75" customHeight="1" x14ac:dyDescent="0.3">
      <c r="H547" s="31"/>
      <c r="I547" s="31"/>
      <c r="J547" s="31"/>
      <c r="K547" s="31"/>
      <c r="L547" s="31"/>
      <c r="M547" s="31"/>
    </row>
    <row r="548" spans="8:13" ht="15.75" customHeight="1" x14ac:dyDescent="0.3">
      <c r="H548" s="31"/>
      <c r="I548" s="31"/>
      <c r="J548" s="31"/>
      <c r="K548" s="31"/>
      <c r="L548" s="31"/>
      <c r="M548" s="31"/>
    </row>
    <row r="549" spans="8:13" ht="15.75" customHeight="1" x14ac:dyDescent="0.3">
      <c r="H549" s="31"/>
      <c r="I549" s="31"/>
      <c r="J549" s="31"/>
      <c r="K549" s="31"/>
      <c r="L549" s="31"/>
      <c r="M549" s="31"/>
    </row>
    <row r="550" spans="8:13" ht="15.75" customHeight="1" x14ac:dyDescent="0.3">
      <c r="H550" s="31"/>
      <c r="I550" s="31"/>
      <c r="J550" s="31"/>
      <c r="K550" s="31"/>
      <c r="L550" s="31"/>
      <c r="M550" s="31"/>
    </row>
    <row r="551" spans="8:13" ht="15.75" customHeight="1" x14ac:dyDescent="0.3">
      <c r="H551" s="31"/>
      <c r="I551" s="31"/>
      <c r="J551" s="31"/>
      <c r="K551" s="31"/>
      <c r="L551" s="31"/>
      <c r="M551" s="31"/>
    </row>
    <row r="552" spans="8:13" ht="15.75" customHeight="1" x14ac:dyDescent="0.3">
      <c r="H552" s="31"/>
      <c r="I552" s="31"/>
      <c r="J552" s="31"/>
      <c r="K552" s="31"/>
      <c r="L552" s="31"/>
      <c r="M552" s="31"/>
    </row>
    <row r="553" spans="8:13" ht="15.75" customHeight="1" x14ac:dyDescent="0.3">
      <c r="H553" s="31"/>
      <c r="I553" s="31"/>
      <c r="J553" s="31"/>
      <c r="K553" s="31"/>
      <c r="L553" s="31"/>
      <c r="M553" s="31"/>
    </row>
    <row r="554" spans="8:13" ht="15.75" customHeight="1" x14ac:dyDescent="0.3">
      <c r="H554" s="31"/>
      <c r="I554" s="31"/>
      <c r="J554" s="31"/>
      <c r="K554" s="31"/>
      <c r="L554" s="31"/>
      <c r="M554" s="31"/>
    </row>
    <row r="555" spans="8:13" ht="15.75" customHeight="1" x14ac:dyDescent="0.3">
      <c r="H555" s="31"/>
      <c r="I555" s="31"/>
      <c r="J555" s="31"/>
      <c r="K555" s="31"/>
      <c r="L555" s="31"/>
      <c r="M555" s="31"/>
    </row>
    <row r="556" spans="8:13" ht="15.75" customHeight="1" x14ac:dyDescent="0.3">
      <c r="H556" s="31"/>
      <c r="I556" s="31"/>
      <c r="J556" s="31"/>
      <c r="K556" s="31"/>
      <c r="L556" s="31"/>
      <c r="M556" s="31"/>
    </row>
    <row r="557" spans="8:13" ht="15.75" customHeight="1" x14ac:dyDescent="0.3">
      <c r="H557" s="31"/>
      <c r="I557" s="31"/>
      <c r="J557" s="31"/>
      <c r="K557" s="31"/>
      <c r="L557" s="31"/>
      <c r="M557" s="31"/>
    </row>
    <row r="558" spans="8:13" ht="15.75" customHeight="1" x14ac:dyDescent="0.3">
      <c r="H558" s="31"/>
      <c r="I558" s="31"/>
      <c r="J558" s="31"/>
      <c r="K558" s="31"/>
      <c r="L558" s="31"/>
      <c r="M558" s="31"/>
    </row>
    <row r="559" spans="8:13" ht="15.75" customHeight="1" x14ac:dyDescent="0.3">
      <c r="H559" s="31"/>
      <c r="I559" s="31"/>
      <c r="J559" s="31"/>
      <c r="K559" s="31"/>
      <c r="L559" s="31"/>
      <c r="M559" s="31"/>
    </row>
    <row r="560" spans="8:13" ht="15.75" customHeight="1" x14ac:dyDescent="0.3">
      <c r="H560" s="31"/>
      <c r="I560" s="31"/>
      <c r="J560" s="31"/>
      <c r="K560" s="31"/>
      <c r="L560" s="31"/>
      <c r="M560" s="31"/>
    </row>
    <row r="561" spans="8:13" ht="15.75" customHeight="1" x14ac:dyDescent="0.3">
      <c r="H561" s="31"/>
      <c r="I561" s="31"/>
      <c r="J561" s="31"/>
      <c r="K561" s="31"/>
      <c r="L561" s="31"/>
      <c r="M561" s="31"/>
    </row>
    <row r="562" spans="8:13" ht="15.75" customHeight="1" x14ac:dyDescent="0.3">
      <c r="H562" s="31"/>
      <c r="I562" s="31"/>
      <c r="J562" s="31"/>
      <c r="K562" s="31"/>
      <c r="L562" s="31"/>
      <c r="M562" s="31"/>
    </row>
    <row r="563" spans="8:13" ht="15.75" customHeight="1" x14ac:dyDescent="0.3">
      <c r="H563" s="31"/>
      <c r="I563" s="31"/>
      <c r="J563" s="31"/>
      <c r="K563" s="31"/>
      <c r="L563" s="31"/>
      <c r="M563" s="31"/>
    </row>
    <row r="564" spans="8:13" ht="15.75" customHeight="1" x14ac:dyDescent="0.3">
      <c r="H564" s="31"/>
      <c r="I564" s="31"/>
      <c r="J564" s="31"/>
      <c r="K564" s="31"/>
      <c r="L564" s="31"/>
      <c r="M564" s="31"/>
    </row>
    <row r="565" spans="8:13" ht="15.75" customHeight="1" x14ac:dyDescent="0.3">
      <c r="H565" s="31"/>
      <c r="I565" s="31"/>
      <c r="J565" s="31"/>
      <c r="K565" s="31"/>
      <c r="L565" s="31"/>
      <c r="M565" s="31"/>
    </row>
    <row r="566" spans="8:13" ht="15.75" customHeight="1" x14ac:dyDescent="0.3">
      <c r="H566" s="31"/>
      <c r="I566" s="31"/>
      <c r="J566" s="31"/>
      <c r="K566" s="31"/>
      <c r="L566" s="31"/>
      <c r="M566" s="31"/>
    </row>
    <row r="567" spans="8:13" ht="15.75" customHeight="1" x14ac:dyDescent="0.3">
      <c r="H567" s="31"/>
      <c r="I567" s="31"/>
      <c r="J567" s="31"/>
      <c r="K567" s="31"/>
      <c r="L567" s="31"/>
      <c r="M567" s="31"/>
    </row>
    <row r="568" spans="8:13" ht="15.75" customHeight="1" x14ac:dyDescent="0.3">
      <c r="H568" s="31"/>
      <c r="I568" s="31"/>
      <c r="J568" s="31"/>
      <c r="K568" s="31"/>
      <c r="L568" s="31"/>
      <c r="M568" s="31"/>
    </row>
    <row r="569" spans="8:13" ht="15.75" customHeight="1" x14ac:dyDescent="0.3">
      <c r="H569" s="31"/>
      <c r="I569" s="31"/>
      <c r="J569" s="31"/>
      <c r="K569" s="31"/>
      <c r="L569" s="31"/>
      <c r="M569" s="31"/>
    </row>
    <row r="570" spans="8:13" ht="15.75" customHeight="1" x14ac:dyDescent="0.3">
      <c r="H570" s="31"/>
      <c r="I570" s="31"/>
      <c r="J570" s="31"/>
      <c r="K570" s="31"/>
      <c r="L570" s="31"/>
      <c r="M570" s="31"/>
    </row>
    <row r="571" spans="8:13" ht="15.75" customHeight="1" x14ac:dyDescent="0.3">
      <c r="H571" s="31"/>
      <c r="I571" s="31"/>
      <c r="J571" s="31"/>
      <c r="K571" s="31"/>
      <c r="L571" s="31"/>
      <c r="M571" s="31"/>
    </row>
    <row r="572" spans="8:13" ht="15.75" customHeight="1" x14ac:dyDescent="0.3">
      <c r="H572" s="31"/>
      <c r="I572" s="31"/>
      <c r="J572" s="31"/>
      <c r="K572" s="31"/>
      <c r="L572" s="31"/>
      <c r="M572" s="31"/>
    </row>
    <row r="573" spans="8:13" ht="15.75" customHeight="1" x14ac:dyDescent="0.3">
      <c r="H573" s="31"/>
      <c r="I573" s="31"/>
      <c r="J573" s="31"/>
      <c r="K573" s="31"/>
      <c r="L573" s="31"/>
      <c r="M573" s="31"/>
    </row>
    <row r="574" spans="8:13" ht="15.75" customHeight="1" x14ac:dyDescent="0.3">
      <c r="H574" s="31"/>
      <c r="I574" s="31"/>
      <c r="J574" s="31"/>
      <c r="K574" s="31"/>
      <c r="L574" s="31"/>
      <c r="M574" s="31"/>
    </row>
    <row r="575" spans="8:13" ht="15.75" customHeight="1" x14ac:dyDescent="0.3">
      <c r="H575" s="31"/>
      <c r="I575" s="31"/>
      <c r="J575" s="31"/>
      <c r="K575" s="31"/>
      <c r="L575" s="31"/>
      <c r="M575" s="31"/>
    </row>
    <row r="576" spans="8:13" ht="15.75" customHeight="1" x14ac:dyDescent="0.3">
      <c r="H576" s="31"/>
      <c r="I576" s="31"/>
      <c r="J576" s="31"/>
      <c r="K576" s="31"/>
      <c r="L576" s="31"/>
      <c r="M576" s="31"/>
    </row>
    <row r="577" spans="8:13" ht="15.75" customHeight="1" x14ac:dyDescent="0.3">
      <c r="H577" s="31"/>
      <c r="I577" s="31"/>
      <c r="J577" s="31"/>
      <c r="K577" s="31"/>
      <c r="L577" s="31"/>
      <c r="M577" s="31"/>
    </row>
    <row r="578" spans="8:13" ht="15.75" customHeight="1" x14ac:dyDescent="0.3">
      <c r="H578" s="31"/>
      <c r="I578" s="31"/>
      <c r="J578" s="31"/>
      <c r="K578" s="31"/>
      <c r="L578" s="31"/>
      <c r="M578" s="31"/>
    </row>
    <row r="579" spans="8:13" ht="15.75" customHeight="1" x14ac:dyDescent="0.3">
      <c r="H579" s="31"/>
      <c r="I579" s="31"/>
      <c r="J579" s="31"/>
      <c r="K579" s="31"/>
      <c r="L579" s="31"/>
      <c r="M579" s="31"/>
    </row>
    <row r="580" spans="8:13" ht="15.75" customHeight="1" x14ac:dyDescent="0.3">
      <c r="H580" s="31"/>
      <c r="I580" s="31"/>
      <c r="J580" s="31"/>
      <c r="K580" s="31"/>
      <c r="L580" s="31"/>
      <c r="M580" s="31"/>
    </row>
    <row r="581" spans="8:13" ht="15.75" customHeight="1" x14ac:dyDescent="0.3">
      <c r="H581" s="31"/>
      <c r="I581" s="31"/>
      <c r="J581" s="31"/>
      <c r="K581" s="31"/>
      <c r="L581" s="31"/>
      <c r="M581" s="31"/>
    </row>
    <row r="582" spans="8:13" ht="15.75" customHeight="1" x14ac:dyDescent="0.3">
      <c r="H582" s="31"/>
      <c r="I582" s="31"/>
      <c r="J582" s="31"/>
      <c r="K582" s="31"/>
      <c r="L582" s="31"/>
      <c r="M582" s="31"/>
    </row>
    <row r="583" spans="8:13" ht="15.75" customHeight="1" x14ac:dyDescent="0.3">
      <c r="H583" s="31"/>
      <c r="I583" s="31"/>
      <c r="J583" s="31"/>
      <c r="K583" s="31"/>
      <c r="L583" s="31"/>
      <c r="M583" s="31"/>
    </row>
    <row r="584" spans="8:13" ht="15.75" customHeight="1" x14ac:dyDescent="0.3">
      <c r="H584" s="31"/>
      <c r="I584" s="31"/>
      <c r="J584" s="31"/>
      <c r="K584" s="31"/>
      <c r="L584" s="31"/>
      <c r="M584" s="31"/>
    </row>
    <row r="585" spans="8:13" ht="15.75" customHeight="1" x14ac:dyDescent="0.3">
      <c r="H585" s="31"/>
      <c r="I585" s="31"/>
      <c r="J585" s="31"/>
      <c r="K585" s="31"/>
      <c r="L585" s="31"/>
      <c r="M585" s="31"/>
    </row>
    <row r="586" spans="8:13" ht="15.75" customHeight="1" x14ac:dyDescent="0.3">
      <c r="H586" s="31"/>
      <c r="I586" s="31"/>
      <c r="J586" s="31"/>
      <c r="K586" s="31"/>
      <c r="L586" s="31"/>
      <c r="M586" s="31"/>
    </row>
    <row r="587" spans="8:13" ht="15.75" customHeight="1" x14ac:dyDescent="0.3">
      <c r="H587" s="31"/>
      <c r="I587" s="31"/>
      <c r="J587" s="31"/>
      <c r="K587" s="31"/>
      <c r="L587" s="31"/>
      <c r="M587" s="31"/>
    </row>
    <row r="588" spans="8:13" ht="15.75" customHeight="1" x14ac:dyDescent="0.3">
      <c r="H588" s="31"/>
      <c r="I588" s="31"/>
      <c r="J588" s="31"/>
      <c r="K588" s="31"/>
      <c r="L588" s="31"/>
      <c r="M588" s="31"/>
    </row>
    <row r="589" spans="8:13" ht="15.75" customHeight="1" x14ac:dyDescent="0.3">
      <c r="H589" s="31"/>
      <c r="I589" s="31"/>
      <c r="J589" s="31"/>
      <c r="K589" s="31"/>
      <c r="L589" s="31"/>
      <c r="M589" s="31"/>
    </row>
    <row r="590" spans="8:13" ht="15.75" customHeight="1" x14ac:dyDescent="0.3">
      <c r="H590" s="31"/>
      <c r="I590" s="31"/>
      <c r="J590" s="31"/>
      <c r="K590" s="31"/>
      <c r="L590" s="31"/>
      <c r="M590" s="31"/>
    </row>
    <row r="591" spans="8:13" ht="15.75" customHeight="1" x14ac:dyDescent="0.3">
      <c r="H591" s="31"/>
      <c r="I591" s="31"/>
      <c r="J591" s="31"/>
      <c r="K591" s="31"/>
      <c r="L591" s="31"/>
      <c r="M591" s="31"/>
    </row>
    <row r="592" spans="8:13" ht="15.75" customHeight="1" x14ac:dyDescent="0.3">
      <c r="H592" s="31"/>
      <c r="I592" s="31"/>
      <c r="J592" s="31"/>
      <c r="K592" s="31"/>
      <c r="L592" s="31"/>
      <c r="M592" s="31"/>
    </row>
    <row r="593" spans="8:13" ht="15.75" customHeight="1" x14ac:dyDescent="0.3">
      <c r="H593" s="31"/>
      <c r="I593" s="31"/>
      <c r="J593" s="31"/>
      <c r="K593" s="31"/>
      <c r="L593" s="31"/>
      <c r="M593" s="31"/>
    </row>
    <row r="594" spans="8:13" ht="15.75" customHeight="1" x14ac:dyDescent="0.3">
      <c r="H594" s="31"/>
      <c r="I594" s="31"/>
      <c r="J594" s="31"/>
      <c r="K594" s="31"/>
      <c r="L594" s="31"/>
      <c r="M594" s="31"/>
    </row>
    <row r="595" spans="8:13" ht="15.75" customHeight="1" x14ac:dyDescent="0.3">
      <c r="H595" s="31"/>
      <c r="I595" s="31"/>
      <c r="J595" s="31"/>
      <c r="K595" s="31"/>
      <c r="L595" s="31"/>
      <c r="M595" s="31"/>
    </row>
    <row r="596" spans="8:13" ht="15.75" customHeight="1" x14ac:dyDescent="0.3">
      <c r="H596" s="31"/>
      <c r="I596" s="31"/>
      <c r="J596" s="31"/>
      <c r="K596" s="31"/>
      <c r="L596" s="31"/>
      <c r="M596" s="31"/>
    </row>
    <row r="597" spans="8:13" ht="15.75" customHeight="1" x14ac:dyDescent="0.3">
      <c r="H597" s="31"/>
      <c r="I597" s="31"/>
      <c r="J597" s="31"/>
      <c r="K597" s="31"/>
      <c r="L597" s="31"/>
      <c r="M597" s="31"/>
    </row>
    <row r="598" spans="8:13" ht="15.75" customHeight="1" x14ac:dyDescent="0.3">
      <c r="H598" s="31"/>
      <c r="I598" s="31"/>
      <c r="J598" s="31"/>
      <c r="K598" s="31"/>
      <c r="L598" s="31"/>
      <c r="M598" s="31"/>
    </row>
    <row r="599" spans="8:13" ht="15.75" customHeight="1" x14ac:dyDescent="0.3">
      <c r="H599" s="31"/>
      <c r="I599" s="31"/>
      <c r="J599" s="31"/>
      <c r="K599" s="31"/>
      <c r="L599" s="31"/>
      <c r="M599" s="31"/>
    </row>
    <row r="600" spans="8:13" ht="15.75" customHeight="1" x14ac:dyDescent="0.3">
      <c r="H600" s="31"/>
      <c r="I600" s="31"/>
      <c r="J600" s="31"/>
      <c r="K600" s="31"/>
      <c r="L600" s="31"/>
      <c r="M600" s="31"/>
    </row>
    <row r="601" spans="8:13" ht="15.75" customHeight="1" x14ac:dyDescent="0.3">
      <c r="H601" s="31"/>
      <c r="I601" s="31"/>
      <c r="J601" s="31"/>
      <c r="K601" s="31"/>
      <c r="L601" s="31"/>
      <c r="M601" s="31"/>
    </row>
    <row r="602" spans="8:13" ht="15.75" customHeight="1" x14ac:dyDescent="0.3">
      <c r="H602" s="31"/>
      <c r="I602" s="31"/>
      <c r="J602" s="31"/>
      <c r="K602" s="31"/>
      <c r="L602" s="31"/>
      <c r="M602" s="31"/>
    </row>
    <row r="603" spans="8:13" ht="15.75" customHeight="1" x14ac:dyDescent="0.3">
      <c r="H603" s="31"/>
      <c r="I603" s="31"/>
      <c r="J603" s="31"/>
      <c r="K603" s="31"/>
      <c r="L603" s="31"/>
      <c r="M603" s="31"/>
    </row>
    <row r="604" spans="8:13" ht="15.75" customHeight="1" x14ac:dyDescent="0.3">
      <c r="H604" s="31"/>
      <c r="I604" s="31"/>
      <c r="J604" s="31"/>
      <c r="K604" s="31"/>
      <c r="L604" s="31"/>
      <c r="M604" s="31"/>
    </row>
    <row r="605" spans="8:13" ht="15.75" customHeight="1" x14ac:dyDescent="0.3">
      <c r="H605" s="31"/>
      <c r="I605" s="31"/>
      <c r="J605" s="31"/>
      <c r="K605" s="31"/>
      <c r="L605" s="31"/>
      <c r="M605" s="31"/>
    </row>
    <row r="606" spans="8:13" ht="15.75" customHeight="1" x14ac:dyDescent="0.3">
      <c r="H606" s="31"/>
      <c r="I606" s="31"/>
      <c r="J606" s="31"/>
      <c r="K606" s="31"/>
      <c r="L606" s="31"/>
      <c r="M606" s="31"/>
    </row>
    <row r="607" spans="8:13" ht="15.75" customHeight="1" x14ac:dyDescent="0.3">
      <c r="H607" s="31"/>
      <c r="I607" s="31"/>
      <c r="J607" s="31"/>
      <c r="K607" s="31"/>
      <c r="L607" s="31"/>
      <c r="M607" s="31"/>
    </row>
    <row r="608" spans="8:13" ht="15.75" customHeight="1" x14ac:dyDescent="0.3">
      <c r="H608" s="31"/>
      <c r="I608" s="31"/>
      <c r="J608" s="31"/>
      <c r="K608" s="31"/>
      <c r="L608" s="31"/>
      <c r="M608" s="31"/>
    </row>
    <row r="609" spans="8:13" ht="15.75" customHeight="1" x14ac:dyDescent="0.3">
      <c r="H609" s="31"/>
      <c r="I609" s="31"/>
      <c r="J609" s="31"/>
      <c r="K609" s="31"/>
      <c r="L609" s="31"/>
      <c r="M609" s="31"/>
    </row>
    <row r="610" spans="8:13" ht="15.75" customHeight="1" x14ac:dyDescent="0.3">
      <c r="H610" s="31"/>
      <c r="I610" s="31"/>
      <c r="J610" s="31"/>
      <c r="K610" s="31"/>
      <c r="L610" s="31"/>
      <c r="M610" s="31"/>
    </row>
    <row r="611" spans="8:13" ht="15.75" customHeight="1" x14ac:dyDescent="0.3">
      <c r="H611" s="31"/>
      <c r="I611" s="31"/>
      <c r="J611" s="31"/>
      <c r="K611" s="31"/>
      <c r="L611" s="31"/>
      <c r="M611" s="31"/>
    </row>
    <row r="612" spans="8:13" ht="15.75" customHeight="1" x14ac:dyDescent="0.3">
      <c r="H612" s="31"/>
      <c r="I612" s="31"/>
      <c r="J612" s="31"/>
      <c r="K612" s="31"/>
      <c r="L612" s="31"/>
      <c r="M612" s="31"/>
    </row>
    <row r="613" spans="8:13" ht="15.75" customHeight="1" x14ac:dyDescent="0.3">
      <c r="H613" s="31"/>
      <c r="I613" s="31"/>
      <c r="J613" s="31"/>
      <c r="K613" s="31"/>
      <c r="L613" s="31"/>
      <c r="M613" s="31"/>
    </row>
    <row r="614" spans="8:13" ht="15.75" customHeight="1" x14ac:dyDescent="0.3">
      <c r="H614" s="31"/>
      <c r="I614" s="31"/>
      <c r="J614" s="31"/>
      <c r="K614" s="31"/>
      <c r="L614" s="31"/>
      <c r="M614" s="31"/>
    </row>
    <row r="615" spans="8:13" ht="15.75" customHeight="1" x14ac:dyDescent="0.3">
      <c r="H615" s="31"/>
      <c r="I615" s="31"/>
      <c r="J615" s="31"/>
      <c r="K615" s="31"/>
      <c r="L615" s="31"/>
      <c r="M615" s="31"/>
    </row>
    <row r="616" spans="8:13" ht="15.75" customHeight="1" x14ac:dyDescent="0.3">
      <c r="H616" s="31"/>
      <c r="I616" s="31"/>
      <c r="J616" s="31"/>
      <c r="K616" s="31"/>
      <c r="L616" s="31"/>
      <c r="M616" s="31"/>
    </row>
    <row r="617" spans="8:13" ht="15.75" customHeight="1" x14ac:dyDescent="0.3">
      <c r="H617" s="31"/>
      <c r="I617" s="31"/>
      <c r="J617" s="31"/>
      <c r="K617" s="31"/>
      <c r="L617" s="31"/>
      <c r="M617" s="31"/>
    </row>
    <row r="618" spans="8:13" ht="15.75" customHeight="1" x14ac:dyDescent="0.3">
      <c r="H618" s="31"/>
      <c r="I618" s="31"/>
      <c r="J618" s="31"/>
      <c r="K618" s="31"/>
      <c r="L618" s="31"/>
      <c r="M618" s="31"/>
    </row>
    <row r="619" spans="8:13" ht="15.75" customHeight="1" x14ac:dyDescent="0.3">
      <c r="H619" s="31"/>
      <c r="I619" s="31"/>
      <c r="J619" s="31"/>
      <c r="K619" s="31"/>
      <c r="L619" s="31"/>
      <c r="M619" s="31"/>
    </row>
    <row r="620" spans="8:13" ht="15.75" customHeight="1" x14ac:dyDescent="0.3">
      <c r="H620" s="31"/>
      <c r="I620" s="31"/>
      <c r="J620" s="31"/>
      <c r="K620" s="31"/>
      <c r="L620" s="31"/>
      <c r="M620" s="31"/>
    </row>
    <row r="621" spans="8:13" ht="15.75" customHeight="1" x14ac:dyDescent="0.3">
      <c r="H621" s="31"/>
      <c r="I621" s="31"/>
      <c r="J621" s="31"/>
      <c r="K621" s="31"/>
      <c r="L621" s="31"/>
      <c r="M621" s="31"/>
    </row>
    <row r="622" spans="8:13" ht="15.75" customHeight="1" x14ac:dyDescent="0.3">
      <c r="H622" s="31"/>
      <c r="I622" s="31"/>
      <c r="J622" s="31"/>
      <c r="K622" s="31"/>
      <c r="L622" s="31"/>
      <c r="M622" s="31"/>
    </row>
    <row r="623" spans="8:13" ht="15.75" customHeight="1" x14ac:dyDescent="0.3">
      <c r="H623" s="31"/>
      <c r="I623" s="31"/>
      <c r="J623" s="31"/>
      <c r="K623" s="31"/>
      <c r="L623" s="31"/>
      <c r="M623" s="31"/>
    </row>
    <row r="624" spans="8:13" ht="15.75" customHeight="1" x14ac:dyDescent="0.3">
      <c r="H624" s="31"/>
      <c r="I624" s="31"/>
      <c r="J624" s="31"/>
      <c r="K624" s="31"/>
      <c r="L624" s="31"/>
      <c r="M624" s="31"/>
    </row>
    <row r="625" spans="8:13" ht="15.75" customHeight="1" x14ac:dyDescent="0.3">
      <c r="H625" s="31"/>
      <c r="I625" s="31"/>
      <c r="J625" s="31"/>
      <c r="K625" s="31"/>
      <c r="L625" s="31"/>
      <c r="M625" s="31"/>
    </row>
    <row r="626" spans="8:13" ht="15.75" customHeight="1" x14ac:dyDescent="0.3">
      <c r="H626" s="31"/>
      <c r="I626" s="31"/>
      <c r="J626" s="31"/>
      <c r="K626" s="31"/>
      <c r="L626" s="31"/>
      <c r="M626" s="31"/>
    </row>
    <row r="627" spans="8:13" ht="15.75" customHeight="1" x14ac:dyDescent="0.3">
      <c r="H627" s="31"/>
      <c r="I627" s="31"/>
      <c r="J627" s="31"/>
      <c r="K627" s="31"/>
      <c r="L627" s="31"/>
      <c r="M627" s="31"/>
    </row>
    <row r="628" spans="8:13" ht="15.75" customHeight="1" x14ac:dyDescent="0.3">
      <c r="H628" s="31"/>
      <c r="I628" s="31"/>
      <c r="J628" s="31"/>
      <c r="K628" s="31"/>
      <c r="L628" s="31"/>
      <c r="M628" s="31"/>
    </row>
    <row r="629" spans="8:13" ht="15.75" customHeight="1" x14ac:dyDescent="0.3">
      <c r="H629" s="31"/>
      <c r="I629" s="31"/>
      <c r="J629" s="31"/>
      <c r="K629" s="31"/>
      <c r="L629" s="31"/>
      <c r="M629" s="31"/>
    </row>
    <row r="630" spans="8:13" ht="15.75" customHeight="1" x14ac:dyDescent="0.3">
      <c r="H630" s="31"/>
      <c r="I630" s="31"/>
      <c r="J630" s="31"/>
      <c r="K630" s="31"/>
      <c r="L630" s="31"/>
      <c r="M630" s="31"/>
    </row>
    <row r="631" spans="8:13" ht="15.75" customHeight="1" x14ac:dyDescent="0.3">
      <c r="H631" s="31"/>
      <c r="I631" s="31"/>
      <c r="J631" s="31"/>
      <c r="K631" s="31"/>
      <c r="L631" s="31"/>
      <c r="M631" s="31"/>
    </row>
    <row r="632" spans="8:13" ht="15.75" customHeight="1" x14ac:dyDescent="0.3">
      <c r="H632" s="31"/>
      <c r="I632" s="31"/>
      <c r="J632" s="31"/>
      <c r="K632" s="31"/>
      <c r="L632" s="31"/>
      <c r="M632" s="31"/>
    </row>
    <row r="633" spans="8:13" ht="15.75" customHeight="1" x14ac:dyDescent="0.3">
      <c r="H633" s="31"/>
      <c r="I633" s="31"/>
      <c r="J633" s="31"/>
      <c r="K633" s="31"/>
      <c r="L633" s="31"/>
      <c r="M633" s="31"/>
    </row>
    <row r="634" spans="8:13" ht="15.75" customHeight="1" x14ac:dyDescent="0.3">
      <c r="H634" s="31"/>
      <c r="I634" s="31"/>
      <c r="J634" s="31"/>
      <c r="K634" s="31"/>
      <c r="L634" s="31"/>
      <c r="M634" s="31"/>
    </row>
    <row r="635" spans="8:13" ht="15.75" customHeight="1" x14ac:dyDescent="0.3">
      <c r="H635" s="31"/>
      <c r="I635" s="31"/>
      <c r="J635" s="31"/>
      <c r="K635" s="31"/>
      <c r="L635" s="31"/>
      <c r="M635" s="31"/>
    </row>
    <row r="636" spans="8:13" ht="15.75" customHeight="1" x14ac:dyDescent="0.3">
      <c r="H636" s="31"/>
      <c r="I636" s="31"/>
      <c r="J636" s="31"/>
      <c r="K636" s="31"/>
      <c r="L636" s="31"/>
      <c r="M636" s="31"/>
    </row>
    <row r="637" spans="8:13" ht="15.75" customHeight="1" x14ac:dyDescent="0.3">
      <c r="H637" s="31"/>
      <c r="I637" s="31"/>
      <c r="J637" s="31"/>
      <c r="K637" s="31"/>
      <c r="L637" s="31"/>
      <c r="M637" s="31"/>
    </row>
    <row r="638" spans="8:13" ht="15.75" customHeight="1" x14ac:dyDescent="0.3">
      <c r="H638" s="31"/>
      <c r="I638" s="31"/>
      <c r="J638" s="31"/>
      <c r="K638" s="31"/>
      <c r="L638" s="31"/>
      <c r="M638" s="31"/>
    </row>
    <row r="639" spans="8:13" ht="15.75" customHeight="1" x14ac:dyDescent="0.3">
      <c r="H639" s="31"/>
      <c r="I639" s="31"/>
      <c r="J639" s="31"/>
      <c r="K639" s="31"/>
      <c r="L639" s="31"/>
      <c r="M639" s="31"/>
    </row>
    <row r="640" spans="8:13" ht="15.75" customHeight="1" x14ac:dyDescent="0.3">
      <c r="H640" s="31"/>
      <c r="I640" s="31"/>
      <c r="J640" s="31"/>
      <c r="K640" s="31"/>
      <c r="L640" s="31"/>
      <c r="M640" s="31"/>
    </row>
    <row r="641" spans="8:13" ht="15.75" customHeight="1" x14ac:dyDescent="0.3">
      <c r="H641" s="31"/>
      <c r="I641" s="31"/>
      <c r="J641" s="31"/>
      <c r="K641" s="31"/>
      <c r="L641" s="31"/>
      <c r="M641" s="31"/>
    </row>
    <row r="642" spans="8:13" ht="15.75" customHeight="1" x14ac:dyDescent="0.3">
      <c r="H642" s="31"/>
      <c r="I642" s="31"/>
      <c r="J642" s="31"/>
      <c r="K642" s="31"/>
      <c r="L642" s="31"/>
      <c r="M642" s="31"/>
    </row>
    <row r="643" spans="8:13" ht="15.75" customHeight="1" x14ac:dyDescent="0.3">
      <c r="H643" s="31"/>
      <c r="I643" s="31"/>
      <c r="J643" s="31"/>
      <c r="K643" s="31"/>
      <c r="L643" s="31"/>
      <c r="M643" s="31"/>
    </row>
    <row r="644" spans="8:13" ht="15.75" customHeight="1" x14ac:dyDescent="0.3">
      <c r="H644" s="31"/>
      <c r="I644" s="31"/>
      <c r="J644" s="31"/>
      <c r="K644" s="31"/>
      <c r="L644" s="31"/>
      <c r="M644" s="31"/>
    </row>
    <row r="645" spans="8:13" ht="15.75" customHeight="1" x14ac:dyDescent="0.3">
      <c r="H645" s="31"/>
      <c r="I645" s="31"/>
      <c r="J645" s="31"/>
      <c r="K645" s="31"/>
      <c r="L645" s="31"/>
      <c r="M645" s="31"/>
    </row>
    <row r="646" spans="8:13" ht="15.75" customHeight="1" x14ac:dyDescent="0.3">
      <c r="H646" s="31"/>
      <c r="I646" s="31"/>
      <c r="J646" s="31"/>
      <c r="K646" s="31"/>
      <c r="L646" s="31"/>
      <c r="M646" s="31"/>
    </row>
    <row r="647" spans="8:13" ht="15.75" customHeight="1" x14ac:dyDescent="0.3">
      <c r="H647" s="31"/>
      <c r="I647" s="31"/>
      <c r="J647" s="31"/>
      <c r="K647" s="31"/>
      <c r="L647" s="31"/>
      <c r="M647" s="31"/>
    </row>
    <row r="648" spans="8:13" ht="15.75" customHeight="1" x14ac:dyDescent="0.3">
      <c r="H648" s="31"/>
      <c r="I648" s="31"/>
      <c r="J648" s="31"/>
      <c r="K648" s="31"/>
      <c r="L648" s="31"/>
      <c r="M648" s="31"/>
    </row>
    <row r="649" spans="8:13" ht="15.75" customHeight="1" x14ac:dyDescent="0.3">
      <c r="H649" s="31"/>
      <c r="I649" s="31"/>
      <c r="J649" s="31"/>
      <c r="K649" s="31"/>
      <c r="L649" s="31"/>
      <c r="M649" s="31"/>
    </row>
    <row r="650" spans="8:13" ht="15.75" customHeight="1" x14ac:dyDescent="0.3">
      <c r="H650" s="31"/>
      <c r="I650" s="31"/>
      <c r="J650" s="31"/>
      <c r="K650" s="31"/>
      <c r="L650" s="31"/>
      <c r="M650" s="31"/>
    </row>
    <row r="651" spans="8:13" ht="15.75" customHeight="1" x14ac:dyDescent="0.3">
      <c r="H651" s="31"/>
      <c r="I651" s="31"/>
      <c r="J651" s="31"/>
      <c r="K651" s="31"/>
      <c r="L651" s="31"/>
      <c r="M651" s="31"/>
    </row>
    <row r="652" spans="8:13" ht="15.75" customHeight="1" x14ac:dyDescent="0.3">
      <c r="H652" s="31"/>
      <c r="I652" s="31"/>
      <c r="J652" s="31"/>
      <c r="K652" s="31"/>
      <c r="L652" s="31"/>
      <c r="M652" s="31"/>
    </row>
    <row r="653" spans="8:13" ht="15.75" customHeight="1" x14ac:dyDescent="0.3">
      <c r="H653" s="31"/>
      <c r="I653" s="31"/>
      <c r="J653" s="31"/>
      <c r="K653" s="31"/>
      <c r="L653" s="31"/>
      <c r="M653" s="31"/>
    </row>
    <row r="654" spans="8:13" ht="15.75" customHeight="1" x14ac:dyDescent="0.3">
      <c r="H654" s="31"/>
      <c r="I654" s="31"/>
      <c r="J654" s="31"/>
      <c r="K654" s="31"/>
      <c r="L654" s="31"/>
      <c r="M654" s="31"/>
    </row>
    <row r="655" spans="8:13" ht="15.75" customHeight="1" x14ac:dyDescent="0.3">
      <c r="H655" s="31"/>
      <c r="I655" s="31"/>
      <c r="J655" s="31"/>
      <c r="K655" s="31"/>
      <c r="L655" s="31"/>
      <c r="M655" s="31"/>
    </row>
    <row r="656" spans="8:13" ht="15.75" customHeight="1" x14ac:dyDescent="0.3">
      <c r="H656" s="31"/>
      <c r="I656" s="31"/>
      <c r="J656" s="31"/>
      <c r="K656" s="31"/>
      <c r="L656" s="31"/>
      <c r="M656" s="31"/>
    </row>
    <row r="657" spans="8:13" ht="15.75" customHeight="1" x14ac:dyDescent="0.3">
      <c r="H657" s="31"/>
      <c r="I657" s="31"/>
      <c r="J657" s="31"/>
      <c r="K657" s="31"/>
      <c r="L657" s="31"/>
      <c r="M657" s="31"/>
    </row>
    <row r="658" spans="8:13" ht="15.75" customHeight="1" x14ac:dyDescent="0.3">
      <c r="H658" s="31"/>
      <c r="I658" s="31"/>
      <c r="J658" s="31"/>
      <c r="K658" s="31"/>
      <c r="L658" s="31"/>
      <c r="M658" s="31"/>
    </row>
    <row r="659" spans="8:13" ht="15.75" customHeight="1" x14ac:dyDescent="0.3">
      <c r="H659" s="31"/>
      <c r="I659" s="31"/>
      <c r="J659" s="31"/>
      <c r="K659" s="31"/>
      <c r="L659" s="31"/>
      <c r="M659" s="31"/>
    </row>
    <row r="660" spans="8:13" ht="15.75" customHeight="1" x14ac:dyDescent="0.3">
      <c r="H660" s="31"/>
      <c r="I660" s="31"/>
      <c r="J660" s="31"/>
      <c r="K660" s="31"/>
      <c r="L660" s="31"/>
      <c r="M660" s="31"/>
    </row>
    <row r="661" spans="8:13" ht="15.75" customHeight="1" x14ac:dyDescent="0.3">
      <c r="H661" s="31"/>
      <c r="I661" s="31"/>
      <c r="J661" s="31"/>
      <c r="K661" s="31"/>
      <c r="L661" s="31"/>
      <c r="M661" s="31"/>
    </row>
    <row r="662" spans="8:13" ht="15.75" customHeight="1" x14ac:dyDescent="0.3">
      <c r="H662" s="31"/>
      <c r="I662" s="31"/>
      <c r="J662" s="31"/>
      <c r="K662" s="31"/>
      <c r="L662" s="31"/>
      <c r="M662" s="31"/>
    </row>
    <row r="663" spans="8:13" ht="15.75" customHeight="1" x14ac:dyDescent="0.3">
      <c r="H663" s="31"/>
      <c r="I663" s="31"/>
      <c r="J663" s="31"/>
      <c r="K663" s="31"/>
      <c r="L663" s="31"/>
      <c r="M663" s="31"/>
    </row>
    <row r="664" spans="8:13" ht="15.75" customHeight="1" x14ac:dyDescent="0.3">
      <c r="H664" s="31"/>
      <c r="I664" s="31"/>
      <c r="J664" s="31"/>
      <c r="K664" s="31"/>
      <c r="L664" s="31"/>
      <c r="M664" s="31"/>
    </row>
    <row r="665" spans="8:13" ht="15.75" customHeight="1" x14ac:dyDescent="0.3">
      <c r="H665" s="31"/>
      <c r="I665" s="31"/>
      <c r="J665" s="31"/>
      <c r="K665" s="31"/>
      <c r="L665" s="31"/>
      <c r="M665" s="31"/>
    </row>
    <row r="666" spans="8:13" ht="15.75" customHeight="1" x14ac:dyDescent="0.3">
      <c r="H666" s="31"/>
      <c r="I666" s="31"/>
      <c r="J666" s="31"/>
      <c r="K666" s="31"/>
      <c r="L666" s="31"/>
      <c r="M666" s="31"/>
    </row>
    <row r="667" spans="8:13" ht="15.75" customHeight="1" x14ac:dyDescent="0.3">
      <c r="H667" s="31"/>
      <c r="I667" s="31"/>
      <c r="J667" s="31"/>
      <c r="K667" s="31"/>
      <c r="L667" s="31"/>
      <c r="M667" s="31"/>
    </row>
    <row r="668" spans="8:13" ht="15.75" customHeight="1" x14ac:dyDescent="0.3">
      <c r="H668" s="31"/>
      <c r="I668" s="31"/>
      <c r="J668" s="31"/>
      <c r="K668" s="31"/>
      <c r="L668" s="31"/>
      <c r="M668" s="31"/>
    </row>
    <row r="669" spans="8:13" ht="15.75" customHeight="1" x14ac:dyDescent="0.3">
      <c r="H669" s="31"/>
      <c r="I669" s="31"/>
      <c r="J669" s="31"/>
      <c r="K669" s="31"/>
      <c r="L669" s="31"/>
      <c r="M669" s="31"/>
    </row>
    <row r="670" spans="8:13" ht="15.75" customHeight="1" x14ac:dyDescent="0.3">
      <c r="H670" s="31"/>
      <c r="I670" s="31"/>
      <c r="J670" s="31"/>
      <c r="K670" s="31"/>
      <c r="L670" s="31"/>
      <c r="M670" s="31"/>
    </row>
    <row r="671" spans="8:13" ht="15.75" customHeight="1" x14ac:dyDescent="0.3">
      <c r="H671" s="31"/>
      <c r="I671" s="31"/>
      <c r="J671" s="31"/>
      <c r="K671" s="31"/>
      <c r="L671" s="31"/>
      <c r="M671" s="31"/>
    </row>
    <row r="672" spans="8:13" ht="15.75" customHeight="1" x14ac:dyDescent="0.3">
      <c r="H672" s="31"/>
      <c r="I672" s="31"/>
      <c r="J672" s="31"/>
      <c r="K672" s="31"/>
      <c r="L672" s="31"/>
      <c r="M672" s="31"/>
    </row>
    <row r="673" spans="8:13" ht="15.75" customHeight="1" x14ac:dyDescent="0.3">
      <c r="H673" s="31"/>
      <c r="I673" s="31"/>
      <c r="J673" s="31"/>
      <c r="K673" s="31"/>
      <c r="L673" s="31"/>
      <c r="M673" s="31"/>
    </row>
    <row r="674" spans="8:13" ht="15.75" customHeight="1" x14ac:dyDescent="0.3">
      <c r="H674" s="31"/>
      <c r="I674" s="31"/>
      <c r="J674" s="31"/>
      <c r="K674" s="31"/>
      <c r="L674" s="31"/>
      <c r="M674" s="31"/>
    </row>
    <row r="675" spans="8:13" ht="15.75" customHeight="1" x14ac:dyDescent="0.3">
      <c r="H675" s="31"/>
      <c r="I675" s="31"/>
      <c r="J675" s="31"/>
      <c r="K675" s="31"/>
      <c r="L675" s="31"/>
      <c r="M675" s="31"/>
    </row>
    <row r="676" spans="8:13" ht="15.75" customHeight="1" x14ac:dyDescent="0.3">
      <c r="H676" s="31"/>
      <c r="I676" s="31"/>
      <c r="J676" s="31"/>
      <c r="K676" s="31"/>
      <c r="L676" s="31"/>
      <c r="M676" s="31"/>
    </row>
    <row r="677" spans="8:13" ht="15.75" customHeight="1" x14ac:dyDescent="0.3">
      <c r="H677" s="31"/>
      <c r="I677" s="31"/>
      <c r="J677" s="31"/>
      <c r="K677" s="31"/>
      <c r="L677" s="31"/>
      <c r="M677" s="31"/>
    </row>
    <row r="678" spans="8:13" ht="15.75" customHeight="1" x14ac:dyDescent="0.3">
      <c r="H678" s="31"/>
      <c r="I678" s="31"/>
      <c r="J678" s="31"/>
      <c r="K678" s="31"/>
      <c r="L678" s="31"/>
      <c r="M678" s="31"/>
    </row>
    <row r="679" spans="8:13" ht="15.75" customHeight="1" x14ac:dyDescent="0.3">
      <c r="H679" s="31"/>
      <c r="I679" s="31"/>
      <c r="J679" s="31"/>
      <c r="K679" s="31"/>
      <c r="L679" s="31"/>
      <c r="M679" s="31"/>
    </row>
    <row r="680" spans="8:13" ht="15.75" customHeight="1" x14ac:dyDescent="0.3">
      <c r="H680" s="31"/>
      <c r="I680" s="31"/>
      <c r="J680" s="31"/>
      <c r="K680" s="31"/>
      <c r="L680" s="31"/>
      <c r="M680" s="31"/>
    </row>
    <row r="681" spans="8:13" ht="15.75" customHeight="1" x14ac:dyDescent="0.3">
      <c r="H681" s="31"/>
      <c r="I681" s="31"/>
      <c r="J681" s="31"/>
      <c r="K681" s="31"/>
      <c r="L681" s="31"/>
      <c r="M681" s="31"/>
    </row>
    <row r="682" spans="8:13" ht="15.75" customHeight="1" x14ac:dyDescent="0.3">
      <c r="H682" s="31"/>
      <c r="I682" s="31"/>
      <c r="J682" s="31"/>
      <c r="K682" s="31"/>
      <c r="L682" s="31"/>
      <c r="M682" s="31"/>
    </row>
    <row r="683" spans="8:13" ht="15.75" customHeight="1" x14ac:dyDescent="0.3">
      <c r="H683" s="31"/>
      <c r="I683" s="31"/>
      <c r="J683" s="31"/>
      <c r="K683" s="31"/>
      <c r="L683" s="31"/>
      <c r="M683" s="31"/>
    </row>
    <row r="684" spans="8:13" ht="15.75" customHeight="1" x14ac:dyDescent="0.3">
      <c r="H684" s="31"/>
      <c r="I684" s="31"/>
      <c r="J684" s="31"/>
      <c r="K684" s="31"/>
      <c r="L684" s="31"/>
      <c r="M684" s="31"/>
    </row>
    <row r="685" spans="8:13" ht="15.75" customHeight="1" x14ac:dyDescent="0.3">
      <c r="H685" s="31"/>
      <c r="I685" s="31"/>
      <c r="J685" s="31"/>
      <c r="K685" s="31"/>
      <c r="L685" s="31"/>
      <c r="M685" s="31"/>
    </row>
    <row r="686" spans="8:13" ht="15.75" customHeight="1" x14ac:dyDescent="0.3">
      <c r="H686" s="31"/>
      <c r="I686" s="31"/>
      <c r="J686" s="31"/>
      <c r="K686" s="31"/>
      <c r="L686" s="31"/>
      <c r="M686" s="31"/>
    </row>
    <row r="687" spans="8:13" ht="15.75" customHeight="1" x14ac:dyDescent="0.3">
      <c r="H687" s="31"/>
      <c r="I687" s="31"/>
      <c r="J687" s="31"/>
      <c r="K687" s="31"/>
      <c r="L687" s="31"/>
      <c r="M687" s="31"/>
    </row>
    <row r="688" spans="8:13" ht="15.75" customHeight="1" x14ac:dyDescent="0.3">
      <c r="H688" s="31"/>
      <c r="I688" s="31"/>
      <c r="J688" s="31"/>
      <c r="K688" s="31"/>
      <c r="L688" s="31"/>
      <c r="M688" s="31"/>
    </row>
    <row r="689" spans="8:13" ht="15.75" customHeight="1" x14ac:dyDescent="0.3">
      <c r="H689" s="31"/>
      <c r="I689" s="31"/>
      <c r="J689" s="31"/>
      <c r="K689" s="31"/>
      <c r="L689" s="31"/>
      <c r="M689" s="31"/>
    </row>
    <row r="690" spans="8:13" ht="15.75" customHeight="1" x14ac:dyDescent="0.3">
      <c r="H690" s="31"/>
      <c r="I690" s="31"/>
      <c r="J690" s="31"/>
      <c r="K690" s="31"/>
      <c r="L690" s="31"/>
      <c r="M690" s="31"/>
    </row>
    <row r="691" spans="8:13" ht="15.75" customHeight="1" x14ac:dyDescent="0.3">
      <c r="H691" s="31"/>
      <c r="I691" s="31"/>
      <c r="J691" s="31"/>
      <c r="K691" s="31"/>
      <c r="L691" s="31"/>
      <c r="M691" s="31"/>
    </row>
    <row r="692" spans="8:13" ht="15.75" customHeight="1" x14ac:dyDescent="0.3">
      <c r="H692" s="31"/>
      <c r="I692" s="31"/>
      <c r="J692" s="31"/>
      <c r="K692" s="31"/>
      <c r="L692" s="31"/>
      <c r="M692" s="31"/>
    </row>
    <row r="693" spans="8:13" ht="15.75" customHeight="1" x14ac:dyDescent="0.3">
      <c r="H693" s="31"/>
      <c r="I693" s="31"/>
      <c r="J693" s="31"/>
      <c r="K693" s="31"/>
      <c r="L693" s="31"/>
      <c r="M693" s="31"/>
    </row>
    <row r="694" spans="8:13" ht="15.75" customHeight="1" x14ac:dyDescent="0.3">
      <c r="H694" s="31"/>
      <c r="I694" s="31"/>
      <c r="J694" s="31"/>
      <c r="K694" s="31"/>
      <c r="L694" s="31"/>
      <c r="M694" s="31"/>
    </row>
    <row r="695" spans="8:13" ht="15.75" customHeight="1" x14ac:dyDescent="0.3">
      <c r="H695" s="31"/>
      <c r="I695" s="31"/>
      <c r="J695" s="31"/>
      <c r="K695" s="31"/>
      <c r="L695" s="31"/>
      <c r="M695" s="31"/>
    </row>
    <row r="696" spans="8:13" ht="15.75" customHeight="1" x14ac:dyDescent="0.3">
      <c r="H696" s="31"/>
      <c r="I696" s="31"/>
      <c r="J696" s="31"/>
      <c r="K696" s="31"/>
      <c r="L696" s="31"/>
      <c r="M696" s="31"/>
    </row>
    <row r="697" spans="8:13" ht="15.75" customHeight="1" x14ac:dyDescent="0.3">
      <c r="H697" s="31"/>
      <c r="I697" s="31"/>
      <c r="J697" s="31"/>
      <c r="K697" s="31"/>
      <c r="L697" s="31"/>
      <c r="M697" s="31"/>
    </row>
    <row r="698" spans="8:13" ht="15.75" customHeight="1" x14ac:dyDescent="0.3">
      <c r="H698" s="31"/>
      <c r="I698" s="31"/>
      <c r="J698" s="31"/>
      <c r="K698" s="31"/>
      <c r="L698" s="31"/>
      <c r="M698" s="31"/>
    </row>
    <row r="699" spans="8:13" ht="15.75" customHeight="1" x14ac:dyDescent="0.3">
      <c r="H699" s="31"/>
      <c r="I699" s="31"/>
      <c r="J699" s="31"/>
      <c r="K699" s="31"/>
      <c r="L699" s="31"/>
      <c r="M699" s="31"/>
    </row>
    <row r="700" spans="8:13" ht="15.75" customHeight="1" x14ac:dyDescent="0.3">
      <c r="H700" s="31"/>
      <c r="I700" s="31"/>
      <c r="J700" s="31"/>
      <c r="K700" s="31"/>
      <c r="L700" s="31"/>
      <c r="M700" s="31"/>
    </row>
    <row r="701" spans="8:13" ht="15.75" customHeight="1" x14ac:dyDescent="0.3">
      <c r="H701" s="31"/>
      <c r="I701" s="31"/>
      <c r="J701" s="31"/>
      <c r="K701" s="31"/>
      <c r="L701" s="31"/>
      <c r="M701" s="31"/>
    </row>
    <row r="702" spans="8:13" ht="15.75" customHeight="1" x14ac:dyDescent="0.3">
      <c r="H702" s="31"/>
      <c r="I702" s="31"/>
      <c r="J702" s="31"/>
      <c r="K702" s="31"/>
      <c r="L702" s="31"/>
      <c r="M702" s="31"/>
    </row>
    <row r="703" spans="8:13" ht="15.75" customHeight="1" x14ac:dyDescent="0.3">
      <c r="H703" s="31"/>
      <c r="I703" s="31"/>
      <c r="J703" s="31"/>
      <c r="K703" s="31"/>
      <c r="L703" s="31"/>
      <c r="M703" s="31"/>
    </row>
    <row r="704" spans="8:13" ht="15.75" customHeight="1" x14ac:dyDescent="0.3">
      <c r="H704" s="31"/>
      <c r="I704" s="31"/>
      <c r="J704" s="31"/>
      <c r="K704" s="31"/>
      <c r="L704" s="31"/>
      <c r="M704" s="31"/>
    </row>
    <row r="705" spans="8:13" ht="15.75" customHeight="1" x14ac:dyDescent="0.3">
      <c r="H705" s="31"/>
      <c r="I705" s="31"/>
      <c r="J705" s="31"/>
      <c r="K705" s="31"/>
      <c r="L705" s="31"/>
      <c r="M705" s="31"/>
    </row>
    <row r="706" spans="8:13" ht="15.75" customHeight="1" x14ac:dyDescent="0.3">
      <c r="H706" s="31"/>
      <c r="I706" s="31"/>
      <c r="J706" s="31"/>
      <c r="K706" s="31"/>
      <c r="L706" s="31"/>
      <c r="M706" s="31"/>
    </row>
    <row r="707" spans="8:13" ht="15.75" customHeight="1" x14ac:dyDescent="0.3">
      <c r="H707" s="31"/>
      <c r="I707" s="31"/>
      <c r="J707" s="31"/>
      <c r="K707" s="31"/>
      <c r="L707" s="31"/>
      <c r="M707" s="31"/>
    </row>
    <row r="708" spans="8:13" ht="15.75" customHeight="1" x14ac:dyDescent="0.3">
      <c r="H708" s="31"/>
      <c r="I708" s="31"/>
      <c r="J708" s="31"/>
      <c r="K708" s="31"/>
      <c r="L708" s="31"/>
      <c r="M708" s="31"/>
    </row>
    <row r="709" spans="8:13" ht="15.75" customHeight="1" x14ac:dyDescent="0.3">
      <c r="H709" s="31"/>
      <c r="I709" s="31"/>
      <c r="J709" s="31"/>
      <c r="K709" s="31"/>
      <c r="L709" s="31"/>
      <c r="M709" s="31"/>
    </row>
    <row r="710" spans="8:13" ht="15.75" customHeight="1" x14ac:dyDescent="0.3">
      <c r="H710" s="31"/>
      <c r="I710" s="31"/>
      <c r="J710" s="31"/>
      <c r="K710" s="31"/>
      <c r="L710" s="31"/>
      <c r="M710" s="31"/>
    </row>
    <row r="711" spans="8:13" ht="15.75" customHeight="1" x14ac:dyDescent="0.3">
      <c r="H711" s="31"/>
      <c r="I711" s="31"/>
      <c r="J711" s="31"/>
      <c r="K711" s="31"/>
      <c r="L711" s="31"/>
      <c r="M711" s="31"/>
    </row>
    <row r="712" spans="8:13" ht="15.75" customHeight="1" x14ac:dyDescent="0.3">
      <c r="H712" s="31"/>
      <c r="I712" s="31"/>
      <c r="J712" s="31"/>
      <c r="K712" s="31"/>
      <c r="L712" s="31"/>
      <c r="M712" s="31"/>
    </row>
    <row r="713" spans="8:13" ht="15.75" customHeight="1" x14ac:dyDescent="0.3">
      <c r="H713" s="31"/>
      <c r="I713" s="31"/>
      <c r="J713" s="31"/>
      <c r="K713" s="31"/>
      <c r="L713" s="31"/>
      <c r="M713" s="31"/>
    </row>
    <row r="714" spans="8:13" ht="15.75" customHeight="1" x14ac:dyDescent="0.3">
      <c r="H714" s="31"/>
      <c r="I714" s="31"/>
      <c r="J714" s="31"/>
      <c r="K714" s="31"/>
      <c r="L714" s="31"/>
      <c r="M714" s="31"/>
    </row>
    <row r="715" spans="8:13" ht="15.75" customHeight="1" x14ac:dyDescent="0.3">
      <c r="H715" s="31"/>
      <c r="I715" s="31"/>
      <c r="J715" s="31"/>
      <c r="K715" s="31"/>
      <c r="L715" s="31"/>
      <c r="M715" s="31"/>
    </row>
    <row r="716" spans="8:13" ht="15.75" customHeight="1" x14ac:dyDescent="0.3">
      <c r="H716" s="31"/>
      <c r="I716" s="31"/>
      <c r="J716" s="31"/>
      <c r="K716" s="31"/>
      <c r="L716" s="31"/>
      <c r="M716" s="31"/>
    </row>
    <row r="717" spans="8:13" ht="15.75" customHeight="1" x14ac:dyDescent="0.3">
      <c r="H717" s="31"/>
      <c r="I717" s="31"/>
      <c r="J717" s="31"/>
      <c r="K717" s="31"/>
      <c r="L717" s="31"/>
      <c r="M717" s="31"/>
    </row>
    <row r="718" spans="8:13" ht="15.75" customHeight="1" x14ac:dyDescent="0.3">
      <c r="H718" s="31"/>
      <c r="I718" s="31"/>
      <c r="J718" s="31"/>
      <c r="K718" s="31"/>
      <c r="L718" s="31"/>
      <c r="M718" s="31"/>
    </row>
    <row r="719" spans="8:13" ht="15.75" customHeight="1" x14ac:dyDescent="0.3">
      <c r="H719" s="31"/>
      <c r="I719" s="31"/>
      <c r="J719" s="31"/>
      <c r="K719" s="31"/>
      <c r="L719" s="31"/>
      <c r="M719" s="31"/>
    </row>
    <row r="720" spans="8:13" ht="15.75" customHeight="1" x14ac:dyDescent="0.3">
      <c r="H720" s="31"/>
      <c r="I720" s="31"/>
      <c r="J720" s="31"/>
      <c r="K720" s="31"/>
      <c r="L720" s="31"/>
      <c r="M720" s="31"/>
    </row>
    <row r="721" spans="8:13" ht="15.75" customHeight="1" x14ac:dyDescent="0.3">
      <c r="H721" s="31"/>
      <c r="I721" s="31"/>
      <c r="J721" s="31"/>
      <c r="K721" s="31"/>
      <c r="L721" s="31"/>
      <c r="M721" s="31"/>
    </row>
    <row r="722" spans="8:13" ht="15.75" customHeight="1" x14ac:dyDescent="0.3">
      <c r="H722" s="31"/>
      <c r="I722" s="31"/>
      <c r="J722" s="31"/>
      <c r="K722" s="31"/>
      <c r="L722" s="31"/>
      <c r="M722" s="31"/>
    </row>
    <row r="723" spans="8:13" ht="15.75" customHeight="1" x14ac:dyDescent="0.3">
      <c r="H723" s="31"/>
      <c r="I723" s="31"/>
      <c r="J723" s="31"/>
      <c r="K723" s="31"/>
      <c r="L723" s="31"/>
      <c r="M723" s="31"/>
    </row>
    <row r="724" spans="8:13" ht="15.75" customHeight="1" x14ac:dyDescent="0.3">
      <c r="H724" s="31"/>
      <c r="I724" s="31"/>
      <c r="J724" s="31"/>
      <c r="K724" s="31"/>
      <c r="L724" s="31"/>
      <c r="M724" s="31"/>
    </row>
    <row r="725" spans="8:13" ht="15.75" customHeight="1" x14ac:dyDescent="0.3">
      <c r="H725" s="31"/>
      <c r="I725" s="31"/>
      <c r="J725" s="31"/>
      <c r="K725" s="31"/>
      <c r="L725" s="31"/>
      <c r="M725" s="31"/>
    </row>
    <row r="726" spans="8:13" ht="15.75" customHeight="1" x14ac:dyDescent="0.3">
      <c r="H726" s="31"/>
      <c r="I726" s="31"/>
      <c r="J726" s="31"/>
      <c r="K726" s="31"/>
      <c r="L726" s="31"/>
      <c r="M726" s="31"/>
    </row>
    <row r="727" spans="8:13" ht="15.75" customHeight="1" x14ac:dyDescent="0.3">
      <c r="H727" s="31"/>
      <c r="I727" s="31"/>
      <c r="J727" s="31"/>
      <c r="K727" s="31"/>
      <c r="L727" s="31"/>
      <c r="M727" s="31"/>
    </row>
    <row r="728" spans="8:13" ht="15.75" customHeight="1" x14ac:dyDescent="0.3">
      <c r="H728" s="31"/>
      <c r="I728" s="31"/>
      <c r="J728" s="31"/>
      <c r="K728" s="31"/>
      <c r="L728" s="31"/>
      <c r="M728" s="31"/>
    </row>
    <row r="729" spans="8:13" ht="15.75" customHeight="1" x14ac:dyDescent="0.3">
      <c r="H729" s="31"/>
      <c r="I729" s="31"/>
      <c r="J729" s="31"/>
      <c r="K729" s="31"/>
      <c r="L729" s="31"/>
      <c r="M729" s="31"/>
    </row>
    <row r="730" spans="8:13" ht="15.75" customHeight="1" x14ac:dyDescent="0.3">
      <c r="H730" s="31"/>
      <c r="I730" s="31"/>
      <c r="J730" s="31"/>
      <c r="K730" s="31"/>
      <c r="L730" s="31"/>
      <c r="M730" s="31"/>
    </row>
    <row r="731" spans="8:13" ht="15.75" customHeight="1" x14ac:dyDescent="0.3">
      <c r="H731" s="31"/>
      <c r="I731" s="31"/>
      <c r="J731" s="31"/>
      <c r="K731" s="31"/>
      <c r="L731" s="31"/>
      <c r="M731" s="31"/>
    </row>
    <row r="732" spans="8:13" ht="15.75" customHeight="1" x14ac:dyDescent="0.3">
      <c r="H732" s="31"/>
      <c r="I732" s="31"/>
      <c r="J732" s="31"/>
      <c r="K732" s="31"/>
      <c r="L732" s="31"/>
      <c r="M732" s="31"/>
    </row>
    <row r="733" spans="8:13" ht="15.75" customHeight="1" x14ac:dyDescent="0.3">
      <c r="H733" s="31"/>
      <c r="I733" s="31"/>
      <c r="J733" s="31"/>
      <c r="K733" s="31"/>
      <c r="L733" s="31"/>
      <c r="M733" s="31"/>
    </row>
    <row r="734" spans="8:13" ht="15.75" customHeight="1" x14ac:dyDescent="0.3">
      <c r="H734" s="31"/>
      <c r="I734" s="31"/>
      <c r="J734" s="31"/>
      <c r="K734" s="31"/>
      <c r="L734" s="31"/>
      <c r="M734" s="31"/>
    </row>
    <row r="735" spans="8:13" ht="15.75" customHeight="1" x14ac:dyDescent="0.3">
      <c r="H735" s="31"/>
      <c r="I735" s="31"/>
      <c r="J735" s="31"/>
      <c r="K735" s="31"/>
      <c r="L735" s="31"/>
      <c r="M735" s="31"/>
    </row>
    <row r="736" spans="8:13" ht="15.75" customHeight="1" x14ac:dyDescent="0.3">
      <c r="H736" s="31"/>
      <c r="I736" s="31"/>
      <c r="J736" s="31"/>
      <c r="K736" s="31"/>
      <c r="L736" s="31"/>
      <c r="M736" s="31"/>
    </row>
    <row r="737" spans="8:13" ht="15.75" customHeight="1" x14ac:dyDescent="0.3">
      <c r="H737" s="31"/>
      <c r="I737" s="31"/>
      <c r="J737" s="31"/>
      <c r="K737" s="31"/>
      <c r="L737" s="31"/>
      <c r="M737" s="31"/>
    </row>
    <row r="738" spans="8:13" ht="15.75" customHeight="1" x14ac:dyDescent="0.3">
      <c r="H738" s="31"/>
      <c r="I738" s="31"/>
      <c r="J738" s="31"/>
      <c r="K738" s="31"/>
      <c r="L738" s="31"/>
      <c r="M738" s="31"/>
    </row>
    <row r="739" spans="8:13" ht="15.75" customHeight="1" x14ac:dyDescent="0.3">
      <c r="H739" s="31"/>
      <c r="I739" s="31"/>
      <c r="J739" s="31"/>
      <c r="K739" s="31"/>
      <c r="L739" s="31"/>
      <c r="M739" s="31"/>
    </row>
    <row r="740" spans="8:13" ht="15.75" customHeight="1" x14ac:dyDescent="0.3">
      <c r="H740" s="31"/>
      <c r="I740" s="31"/>
      <c r="J740" s="31"/>
      <c r="K740" s="31"/>
      <c r="L740" s="31"/>
      <c r="M740" s="31"/>
    </row>
    <row r="741" spans="8:13" ht="15.75" customHeight="1" x14ac:dyDescent="0.3">
      <c r="H741" s="31"/>
      <c r="I741" s="31"/>
      <c r="J741" s="31"/>
      <c r="K741" s="31"/>
      <c r="L741" s="31"/>
      <c r="M741" s="31"/>
    </row>
    <row r="742" spans="8:13" ht="15.75" customHeight="1" x14ac:dyDescent="0.3">
      <c r="H742" s="31"/>
      <c r="I742" s="31"/>
      <c r="J742" s="31"/>
      <c r="K742" s="31"/>
      <c r="L742" s="31"/>
      <c r="M742" s="31"/>
    </row>
    <row r="743" spans="8:13" ht="15.75" customHeight="1" x14ac:dyDescent="0.3">
      <c r="H743" s="31"/>
      <c r="I743" s="31"/>
      <c r="J743" s="31"/>
      <c r="K743" s="31"/>
      <c r="L743" s="31"/>
      <c r="M743" s="31"/>
    </row>
    <row r="744" spans="8:13" ht="15.75" customHeight="1" x14ac:dyDescent="0.3">
      <c r="H744" s="31"/>
      <c r="I744" s="31"/>
      <c r="J744" s="31"/>
      <c r="K744" s="31"/>
      <c r="L744" s="31"/>
      <c r="M744" s="31"/>
    </row>
    <row r="745" spans="8:13" ht="15.75" customHeight="1" x14ac:dyDescent="0.3">
      <c r="H745" s="31"/>
      <c r="I745" s="31"/>
      <c r="J745" s="31"/>
      <c r="K745" s="31"/>
      <c r="L745" s="31"/>
      <c r="M745" s="31"/>
    </row>
    <row r="746" spans="8:13" ht="15.75" customHeight="1" x14ac:dyDescent="0.3">
      <c r="H746" s="31"/>
      <c r="I746" s="31"/>
      <c r="J746" s="31"/>
      <c r="K746" s="31"/>
      <c r="L746" s="31"/>
      <c r="M746" s="31"/>
    </row>
    <row r="747" spans="8:13" ht="15.75" customHeight="1" x14ac:dyDescent="0.3">
      <c r="H747" s="31"/>
      <c r="I747" s="31"/>
      <c r="J747" s="31"/>
      <c r="K747" s="31"/>
      <c r="L747" s="31"/>
      <c r="M747" s="31"/>
    </row>
    <row r="748" spans="8:13" ht="15.75" customHeight="1" x14ac:dyDescent="0.3">
      <c r="H748" s="31"/>
      <c r="I748" s="31"/>
      <c r="J748" s="31"/>
      <c r="K748" s="31"/>
      <c r="L748" s="31"/>
      <c r="M748" s="31"/>
    </row>
    <row r="749" spans="8:13" ht="15.75" customHeight="1" x14ac:dyDescent="0.3">
      <c r="H749" s="31"/>
      <c r="I749" s="31"/>
      <c r="J749" s="31"/>
      <c r="K749" s="31"/>
      <c r="L749" s="31"/>
      <c r="M749" s="31"/>
    </row>
    <row r="750" spans="8:13" ht="15.75" customHeight="1" x14ac:dyDescent="0.3">
      <c r="H750" s="31"/>
      <c r="I750" s="31"/>
      <c r="J750" s="31"/>
      <c r="K750" s="31"/>
      <c r="L750" s="31"/>
      <c r="M750" s="31"/>
    </row>
    <row r="751" spans="8:13" ht="15.75" customHeight="1" x14ac:dyDescent="0.3">
      <c r="H751" s="31"/>
      <c r="I751" s="31"/>
      <c r="J751" s="31"/>
      <c r="K751" s="31"/>
      <c r="L751" s="31"/>
      <c r="M751" s="31"/>
    </row>
    <row r="752" spans="8:13" ht="15.75" customHeight="1" x14ac:dyDescent="0.3">
      <c r="H752" s="31"/>
      <c r="I752" s="31"/>
      <c r="J752" s="31"/>
      <c r="K752" s="31"/>
      <c r="L752" s="31"/>
      <c r="M752" s="31"/>
    </row>
    <row r="753" spans="8:13" ht="15.75" customHeight="1" x14ac:dyDescent="0.3">
      <c r="H753" s="31"/>
      <c r="I753" s="31"/>
      <c r="J753" s="31"/>
      <c r="K753" s="31"/>
      <c r="L753" s="31"/>
      <c r="M753" s="31"/>
    </row>
    <row r="754" spans="8:13" ht="15.75" customHeight="1" x14ac:dyDescent="0.3">
      <c r="H754" s="31"/>
      <c r="I754" s="31"/>
      <c r="J754" s="31"/>
      <c r="K754" s="31"/>
      <c r="L754" s="31"/>
      <c r="M754" s="31"/>
    </row>
    <row r="755" spans="8:13" ht="15.75" customHeight="1" x14ac:dyDescent="0.3">
      <c r="H755" s="31"/>
      <c r="I755" s="31"/>
      <c r="J755" s="31"/>
      <c r="K755" s="31"/>
      <c r="L755" s="31"/>
      <c r="M755" s="31"/>
    </row>
    <row r="756" spans="8:13" ht="15.75" customHeight="1" x14ac:dyDescent="0.3">
      <c r="H756" s="31"/>
      <c r="I756" s="31"/>
      <c r="J756" s="31"/>
      <c r="K756" s="31"/>
      <c r="L756" s="31"/>
      <c r="M756" s="31"/>
    </row>
    <row r="757" spans="8:13" ht="15.75" customHeight="1" x14ac:dyDescent="0.3">
      <c r="H757" s="31"/>
      <c r="I757" s="31"/>
      <c r="J757" s="31"/>
      <c r="K757" s="31"/>
      <c r="L757" s="31"/>
      <c r="M757" s="31"/>
    </row>
    <row r="758" spans="8:13" ht="15.75" customHeight="1" x14ac:dyDescent="0.3">
      <c r="H758" s="31"/>
      <c r="I758" s="31"/>
      <c r="J758" s="31"/>
      <c r="K758" s="31"/>
      <c r="L758" s="31"/>
      <c r="M758" s="31"/>
    </row>
    <row r="759" spans="8:13" ht="15.75" customHeight="1" x14ac:dyDescent="0.3">
      <c r="H759" s="31"/>
      <c r="I759" s="31"/>
      <c r="J759" s="31"/>
      <c r="K759" s="31"/>
      <c r="L759" s="31"/>
      <c r="M759" s="31"/>
    </row>
    <row r="760" spans="8:13" ht="15.75" customHeight="1" x14ac:dyDescent="0.3">
      <c r="H760" s="31"/>
      <c r="I760" s="31"/>
      <c r="J760" s="31"/>
      <c r="K760" s="31"/>
      <c r="L760" s="31"/>
      <c r="M760" s="31"/>
    </row>
    <row r="761" spans="8:13" ht="15.75" customHeight="1" x14ac:dyDescent="0.3">
      <c r="H761" s="31"/>
      <c r="I761" s="31"/>
      <c r="J761" s="31"/>
      <c r="K761" s="31"/>
      <c r="L761" s="31"/>
      <c r="M761" s="31"/>
    </row>
    <row r="762" spans="8:13" ht="15.75" customHeight="1" x14ac:dyDescent="0.3">
      <c r="H762" s="31"/>
      <c r="I762" s="31"/>
      <c r="J762" s="31"/>
      <c r="K762" s="31"/>
      <c r="L762" s="31"/>
      <c r="M762" s="31"/>
    </row>
    <row r="763" spans="8:13" ht="15.75" customHeight="1" x14ac:dyDescent="0.3">
      <c r="H763" s="31"/>
      <c r="I763" s="31"/>
      <c r="J763" s="31"/>
      <c r="K763" s="31"/>
      <c r="L763" s="31"/>
      <c r="M763" s="31"/>
    </row>
    <row r="764" spans="8:13" ht="15.75" customHeight="1" x14ac:dyDescent="0.3">
      <c r="H764" s="31"/>
      <c r="I764" s="31"/>
      <c r="J764" s="31"/>
      <c r="K764" s="31"/>
      <c r="L764" s="31"/>
      <c r="M764" s="31"/>
    </row>
    <row r="765" spans="8:13" ht="15.75" customHeight="1" x14ac:dyDescent="0.3">
      <c r="H765" s="31"/>
      <c r="I765" s="31"/>
      <c r="J765" s="31"/>
      <c r="K765" s="31"/>
      <c r="L765" s="31"/>
      <c r="M765" s="31"/>
    </row>
    <row r="766" spans="8:13" ht="15.75" customHeight="1" x14ac:dyDescent="0.3">
      <c r="H766" s="31"/>
      <c r="I766" s="31"/>
      <c r="J766" s="31"/>
      <c r="K766" s="31"/>
      <c r="L766" s="31"/>
      <c r="M766" s="31"/>
    </row>
    <row r="767" spans="8:13" ht="15.75" customHeight="1" x14ac:dyDescent="0.3">
      <c r="H767" s="31"/>
      <c r="I767" s="31"/>
      <c r="J767" s="31"/>
      <c r="K767" s="31"/>
      <c r="L767" s="31"/>
      <c r="M767" s="31"/>
    </row>
    <row r="768" spans="8:13" ht="15.75" customHeight="1" x14ac:dyDescent="0.3">
      <c r="H768" s="31"/>
      <c r="I768" s="31"/>
      <c r="J768" s="31"/>
      <c r="K768" s="31"/>
      <c r="L768" s="31"/>
      <c r="M768" s="31"/>
    </row>
    <row r="769" spans="8:13" ht="15.75" customHeight="1" x14ac:dyDescent="0.3">
      <c r="H769" s="31"/>
      <c r="I769" s="31"/>
      <c r="J769" s="31"/>
      <c r="K769" s="31"/>
      <c r="L769" s="31"/>
      <c r="M769" s="31"/>
    </row>
    <row r="770" spans="8:13" ht="15.75" customHeight="1" x14ac:dyDescent="0.3">
      <c r="H770" s="31"/>
      <c r="I770" s="31"/>
      <c r="J770" s="31"/>
      <c r="K770" s="31"/>
      <c r="L770" s="31"/>
      <c r="M770" s="31"/>
    </row>
    <row r="771" spans="8:13" ht="15.75" customHeight="1" x14ac:dyDescent="0.3">
      <c r="H771" s="31"/>
      <c r="I771" s="31"/>
      <c r="J771" s="31"/>
      <c r="K771" s="31"/>
      <c r="L771" s="31"/>
      <c r="M771" s="31"/>
    </row>
    <row r="772" spans="8:13" ht="15.75" customHeight="1" x14ac:dyDescent="0.3">
      <c r="H772" s="31"/>
      <c r="I772" s="31"/>
      <c r="J772" s="31"/>
      <c r="K772" s="31"/>
      <c r="L772" s="31"/>
      <c r="M772" s="31"/>
    </row>
    <row r="773" spans="8:13" ht="15.75" customHeight="1" x14ac:dyDescent="0.3">
      <c r="H773" s="31"/>
      <c r="I773" s="31"/>
      <c r="J773" s="31"/>
      <c r="K773" s="31"/>
      <c r="L773" s="31"/>
      <c r="M773" s="31"/>
    </row>
    <row r="774" spans="8:13" ht="15.75" customHeight="1" x14ac:dyDescent="0.3">
      <c r="H774" s="31"/>
      <c r="I774" s="31"/>
      <c r="J774" s="31"/>
      <c r="K774" s="31"/>
      <c r="L774" s="31"/>
      <c r="M774" s="31"/>
    </row>
    <row r="775" spans="8:13" ht="15.75" customHeight="1" x14ac:dyDescent="0.3">
      <c r="H775" s="31"/>
      <c r="I775" s="31"/>
      <c r="J775" s="31"/>
      <c r="K775" s="31"/>
      <c r="L775" s="31"/>
      <c r="M775" s="31"/>
    </row>
    <row r="776" spans="8:13" ht="15.75" customHeight="1" x14ac:dyDescent="0.3">
      <c r="H776" s="31"/>
      <c r="I776" s="31"/>
      <c r="J776" s="31"/>
      <c r="K776" s="31"/>
      <c r="L776" s="31"/>
      <c r="M776" s="31"/>
    </row>
    <row r="777" spans="8:13" ht="15.75" customHeight="1" x14ac:dyDescent="0.3">
      <c r="H777" s="31"/>
      <c r="I777" s="31"/>
      <c r="J777" s="31"/>
      <c r="K777" s="31"/>
      <c r="L777" s="31"/>
      <c r="M777" s="31"/>
    </row>
    <row r="778" spans="8:13" ht="15.75" customHeight="1" x14ac:dyDescent="0.3">
      <c r="H778" s="31"/>
      <c r="I778" s="31"/>
      <c r="J778" s="31"/>
      <c r="K778" s="31"/>
      <c r="L778" s="31"/>
      <c r="M778" s="31"/>
    </row>
    <row r="779" spans="8:13" ht="15.75" customHeight="1" x14ac:dyDescent="0.3">
      <c r="H779" s="31"/>
      <c r="I779" s="31"/>
      <c r="J779" s="31"/>
      <c r="K779" s="31"/>
      <c r="L779" s="31"/>
      <c r="M779" s="31"/>
    </row>
    <row r="780" spans="8:13" ht="15.75" customHeight="1" x14ac:dyDescent="0.3">
      <c r="H780" s="31"/>
      <c r="I780" s="31"/>
      <c r="J780" s="31"/>
      <c r="K780" s="31"/>
      <c r="L780" s="31"/>
      <c r="M780" s="31"/>
    </row>
    <row r="781" spans="8:13" ht="15.75" customHeight="1" x14ac:dyDescent="0.3">
      <c r="H781" s="31"/>
      <c r="I781" s="31"/>
      <c r="J781" s="31"/>
      <c r="K781" s="31"/>
      <c r="L781" s="31"/>
      <c r="M781" s="31"/>
    </row>
    <row r="782" spans="8:13" ht="15.75" customHeight="1" x14ac:dyDescent="0.3">
      <c r="H782" s="31"/>
      <c r="I782" s="31"/>
      <c r="J782" s="31"/>
      <c r="K782" s="31"/>
      <c r="L782" s="31"/>
      <c r="M782" s="31"/>
    </row>
    <row r="783" spans="8:13" ht="15.75" customHeight="1" x14ac:dyDescent="0.3">
      <c r="H783" s="31"/>
      <c r="I783" s="31"/>
      <c r="J783" s="31"/>
      <c r="K783" s="31"/>
      <c r="L783" s="31"/>
      <c r="M783" s="31"/>
    </row>
    <row r="784" spans="8:13" ht="15.75" customHeight="1" x14ac:dyDescent="0.3">
      <c r="H784" s="31"/>
      <c r="I784" s="31"/>
      <c r="J784" s="31"/>
      <c r="K784" s="31"/>
      <c r="L784" s="31"/>
      <c r="M784" s="31"/>
    </row>
    <row r="785" spans="8:13" ht="15.75" customHeight="1" x14ac:dyDescent="0.3">
      <c r="H785" s="31"/>
      <c r="I785" s="31"/>
      <c r="J785" s="31"/>
      <c r="K785" s="31"/>
      <c r="L785" s="31"/>
      <c r="M785" s="31"/>
    </row>
    <row r="786" spans="8:13" ht="15.75" customHeight="1" x14ac:dyDescent="0.3">
      <c r="H786" s="31"/>
      <c r="I786" s="31"/>
      <c r="J786" s="31"/>
      <c r="K786" s="31"/>
      <c r="L786" s="31"/>
      <c r="M786" s="31"/>
    </row>
    <row r="787" spans="8:13" ht="15.75" customHeight="1" x14ac:dyDescent="0.3">
      <c r="H787" s="31"/>
      <c r="I787" s="31"/>
      <c r="J787" s="31"/>
      <c r="K787" s="31"/>
      <c r="L787" s="31"/>
      <c r="M787" s="31"/>
    </row>
    <row r="788" spans="8:13" ht="15.75" customHeight="1" x14ac:dyDescent="0.3">
      <c r="H788" s="31"/>
      <c r="I788" s="31"/>
      <c r="J788" s="31"/>
      <c r="K788" s="31"/>
      <c r="L788" s="31"/>
      <c r="M788" s="31"/>
    </row>
    <row r="789" spans="8:13" ht="15.75" customHeight="1" x14ac:dyDescent="0.3">
      <c r="H789" s="31"/>
      <c r="I789" s="31"/>
      <c r="J789" s="31"/>
      <c r="K789" s="31"/>
      <c r="L789" s="31"/>
      <c r="M789" s="31"/>
    </row>
    <row r="790" spans="8:13" ht="15.75" customHeight="1" x14ac:dyDescent="0.3">
      <c r="H790" s="31"/>
      <c r="I790" s="31"/>
      <c r="J790" s="31"/>
      <c r="K790" s="31"/>
      <c r="L790" s="31"/>
      <c r="M790" s="31"/>
    </row>
    <row r="791" spans="8:13" ht="15.75" customHeight="1" x14ac:dyDescent="0.3">
      <c r="H791" s="31"/>
      <c r="I791" s="31"/>
      <c r="J791" s="31"/>
      <c r="K791" s="31"/>
      <c r="L791" s="31"/>
      <c r="M791" s="31"/>
    </row>
    <row r="792" spans="8:13" ht="15.75" customHeight="1" x14ac:dyDescent="0.3">
      <c r="H792" s="31"/>
      <c r="I792" s="31"/>
      <c r="J792" s="31"/>
      <c r="K792" s="31"/>
      <c r="L792" s="31"/>
      <c r="M792" s="31"/>
    </row>
    <row r="793" spans="8:13" ht="15.75" customHeight="1" x14ac:dyDescent="0.3">
      <c r="H793" s="31"/>
      <c r="I793" s="31"/>
      <c r="J793" s="31"/>
      <c r="K793" s="31"/>
      <c r="L793" s="31"/>
      <c r="M793" s="31"/>
    </row>
    <row r="794" spans="8:13" ht="15.75" customHeight="1" x14ac:dyDescent="0.3">
      <c r="H794" s="31"/>
      <c r="I794" s="31"/>
      <c r="J794" s="31"/>
      <c r="K794" s="31"/>
      <c r="L794" s="31"/>
      <c r="M794" s="31"/>
    </row>
    <row r="795" spans="8:13" ht="15.75" customHeight="1" x14ac:dyDescent="0.3">
      <c r="H795" s="31"/>
      <c r="I795" s="31"/>
      <c r="J795" s="31"/>
      <c r="K795" s="31"/>
      <c r="L795" s="31"/>
      <c r="M795" s="31"/>
    </row>
    <row r="796" spans="8:13" ht="15.75" customHeight="1" x14ac:dyDescent="0.3">
      <c r="H796" s="31"/>
      <c r="I796" s="31"/>
      <c r="J796" s="31"/>
      <c r="K796" s="31"/>
      <c r="L796" s="31"/>
      <c r="M796" s="31"/>
    </row>
    <row r="797" spans="8:13" ht="15.75" customHeight="1" x14ac:dyDescent="0.3">
      <c r="H797" s="31"/>
      <c r="I797" s="31"/>
      <c r="J797" s="31"/>
      <c r="K797" s="31"/>
      <c r="L797" s="31"/>
      <c r="M797" s="31"/>
    </row>
    <row r="798" spans="8:13" ht="15.75" customHeight="1" x14ac:dyDescent="0.3">
      <c r="H798" s="31"/>
      <c r="I798" s="31"/>
      <c r="J798" s="31"/>
      <c r="K798" s="31"/>
      <c r="L798" s="31"/>
      <c r="M798" s="31"/>
    </row>
    <row r="799" spans="8:13" ht="15.75" customHeight="1" x14ac:dyDescent="0.3">
      <c r="H799" s="31"/>
      <c r="I799" s="31"/>
      <c r="J799" s="31"/>
      <c r="K799" s="31"/>
      <c r="L799" s="31"/>
      <c r="M799" s="31"/>
    </row>
    <row r="800" spans="8:13" ht="15.75" customHeight="1" x14ac:dyDescent="0.3">
      <c r="H800" s="31"/>
      <c r="I800" s="31"/>
      <c r="J800" s="31"/>
      <c r="K800" s="31"/>
      <c r="L800" s="31"/>
      <c r="M800" s="31"/>
    </row>
    <row r="801" spans="8:13" ht="15.75" customHeight="1" x14ac:dyDescent="0.3">
      <c r="H801" s="31"/>
      <c r="I801" s="31"/>
      <c r="J801" s="31"/>
      <c r="K801" s="31"/>
      <c r="L801" s="31"/>
      <c r="M801" s="31"/>
    </row>
    <row r="802" spans="8:13" ht="15.75" customHeight="1" x14ac:dyDescent="0.3">
      <c r="H802" s="31"/>
      <c r="I802" s="31"/>
      <c r="J802" s="31"/>
      <c r="K802" s="31"/>
      <c r="L802" s="31"/>
      <c r="M802" s="31"/>
    </row>
    <row r="803" spans="8:13" ht="15.75" customHeight="1" x14ac:dyDescent="0.3">
      <c r="H803" s="31"/>
      <c r="I803" s="31"/>
      <c r="J803" s="31"/>
      <c r="K803" s="31"/>
      <c r="L803" s="31"/>
      <c r="M803" s="31"/>
    </row>
    <row r="804" spans="8:13" ht="15.75" customHeight="1" x14ac:dyDescent="0.3">
      <c r="H804" s="31"/>
      <c r="I804" s="31"/>
      <c r="J804" s="31"/>
      <c r="K804" s="31"/>
      <c r="L804" s="31"/>
      <c r="M804" s="31"/>
    </row>
    <row r="805" spans="8:13" ht="15.75" customHeight="1" x14ac:dyDescent="0.3">
      <c r="H805" s="31"/>
      <c r="I805" s="31"/>
      <c r="J805" s="31"/>
      <c r="K805" s="31"/>
      <c r="L805" s="31"/>
      <c r="M805" s="31"/>
    </row>
    <row r="806" spans="8:13" ht="15.75" customHeight="1" x14ac:dyDescent="0.3">
      <c r="H806" s="31"/>
      <c r="I806" s="31"/>
      <c r="J806" s="31"/>
      <c r="K806" s="31"/>
      <c r="L806" s="31"/>
      <c r="M806" s="31"/>
    </row>
    <row r="807" spans="8:13" ht="15.75" customHeight="1" x14ac:dyDescent="0.3">
      <c r="H807" s="31"/>
      <c r="I807" s="31"/>
      <c r="J807" s="31"/>
      <c r="K807" s="31"/>
      <c r="L807" s="31"/>
      <c r="M807" s="31"/>
    </row>
    <row r="808" spans="8:13" ht="15.75" customHeight="1" x14ac:dyDescent="0.3">
      <c r="H808" s="31"/>
      <c r="I808" s="31"/>
      <c r="J808" s="31"/>
      <c r="K808" s="31"/>
      <c r="L808" s="31"/>
      <c r="M808" s="31"/>
    </row>
    <row r="809" spans="8:13" ht="15.75" customHeight="1" x14ac:dyDescent="0.3">
      <c r="H809" s="31"/>
      <c r="I809" s="31"/>
      <c r="J809" s="31"/>
      <c r="K809" s="31"/>
      <c r="L809" s="31"/>
      <c r="M809" s="31"/>
    </row>
    <row r="810" spans="8:13" ht="15.75" customHeight="1" x14ac:dyDescent="0.3">
      <c r="H810" s="31"/>
      <c r="I810" s="31"/>
      <c r="J810" s="31"/>
      <c r="K810" s="31"/>
      <c r="L810" s="31"/>
      <c r="M810" s="31"/>
    </row>
    <row r="811" spans="8:13" ht="15.75" customHeight="1" x14ac:dyDescent="0.3">
      <c r="H811" s="31"/>
      <c r="I811" s="31"/>
      <c r="J811" s="31"/>
      <c r="K811" s="31"/>
      <c r="L811" s="31"/>
      <c r="M811" s="31"/>
    </row>
    <row r="812" spans="8:13" ht="15.75" customHeight="1" x14ac:dyDescent="0.3">
      <c r="H812" s="31"/>
      <c r="I812" s="31"/>
      <c r="J812" s="31"/>
      <c r="K812" s="31"/>
      <c r="L812" s="31"/>
      <c r="M812" s="31"/>
    </row>
    <row r="813" spans="8:13" ht="15.75" customHeight="1" x14ac:dyDescent="0.3">
      <c r="H813" s="31"/>
      <c r="I813" s="31"/>
      <c r="J813" s="31"/>
      <c r="K813" s="31"/>
      <c r="L813" s="31"/>
      <c r="M813" s="31"/>
    </row>
    <row r="814" spans="8:13" ht="15.75" customHeight="1" x14ac:dyDescent="0.3">
      <c r="H814" s="31"/>
      <c r="I814" s="31"/>
      <c r="J814" s="31"/>
      <c r="K814" s="31"/>
      <c r="L814" s="31"/>
      <c r="M814" s="31"/>
    </row>
    <row r="815" spans="8:13" ht="15.75" customHeight="1" x14ac:dyDescent="0.3">
      <c r="H815" s="31"/>
      <c r="I815" s="31"/>
      <c r="J815" s="31"/>
      <c r="K815" s="31"/>
      <c r="L815" s="31"/>
      <c r="M815" s="31"/>
    </row>
    <row r="816" spans="8:13" ht="15.75" customHeight="1" x14ac:dyDescent="0.3">
      <c r="H816" s="31"/>
      <c r="I816" s="31"/>
      <c r="J816" s="31"/>
      <c r="K816" s="31"/>
      <c r="L816" s="31"/>
      <c r="M816" s="31"/>
    </row>
    <row r="817" spans="8:13" ht="15.75" customHeight="1" x14ac:dyDescent="0.3">
      <c r="H817" s="31"/>
      <c r="I817" s="31"/>
      <c r="J817" s="31"/>
      <c r="K817" s="31"/>
      <c r="L817" s="31"/>
      <c r="M817" s="31"/>
    </row>
    <row r="818" spans="8:13" ht="15.75" customHeight="1" x14ac:dyDescent="0.3">
      <c r="H818" s="31"/>
      <c r="I818" s="31"/>
      <c r="J818" s="31"/>
      <c r="K818" s="31"/>
      <c r="L818" s="31"/>
      <c r="M818" s="31"/>
    </row>
    <row r="819" spans="8:13" ht="15.75" customHeight="1" x14ac:dyDescent="0.3">
      <c r="H819" s="31"/>
      <c r="I819" s="31"/>
      <c r="J819" s="31"/>
      <c r="K819" s="31"/>
      <c r="L819" s="31"/>
      <c r="M819" s="31"/>
    </row>
    <row r="820" spans="8:13" ht="15.75" customHeight="1" x14ac:dyDescent="0.3">
      <c r="H820" s="31"/>
      <c r="I820" s="31"/>
      <c r="J820" s="31"/>
      <c r="K820" s="31"/>
      <c r="L820" s="31"/>
      <c r="M820" s="31"/>
    </row>
    <row r="821" spans="8:13" ht="15.75" customHeight="1" x14ac:dyDescent="0.3">
      <c r="H821" s="31"/>
      <c r="I821" s="31"/>
      <c r="J821" s="31"/>
      <c r="K821" s="31"/>
      <c r="L821" s="31"/>
      <c r="M821" s="31"/>
    </row>
    <row r="822" spans="8:13" ht="15.75" customHeight="1" x14ac:dyDescent="0.3">
      <c r="H822" s="31"/>
      <c r="I822" s="31"/>
      <c r="J822" s="31"/>
      <c r="K822" s="31"/>
      <c r="L822" s="31"/>
      <c r="M822" s="31"/>
    </row>
    <row r="823" spans="8:13" ht="15.75" customHeight="1" x14ac:dyDescent="0.3">
      <c r="H823" s="31"/>
      <c r="I823" s="31"/>
      <c r="J823" s="31"/>
      <c r="K823" s="31"/>
      <c r="L823" s="31"/>
      <c r="M823" s="31"/>
    </row>
    <row r="824" spans="8:13" ht="15.75" customHeight="1" x14ac:dyDescent="0.3">
      <c r="H824" s="31"/>
      <c r="I824" s="31"/>
      <c r="J824" s="31"/>
      <c r="K824" s="31"/>
      <c r="L824" s="31"/>
      <c r="M824" s="31"/>
    </row>
    <row r="825" spans="8:13" ht="15.75" customHeight="1" x14ac:dyDescent="0.3">
      <c r="H825" s="31"/>
      <c r="I825" s="31"/>
      <c r="J825" s="31"/>
      <c r="K825" s="31"/>
      <c r="L825" s="31"/>
      <c r="M825" s="31"/>
    </row>
    <row r="826" spans="8:13" ht="15.75" customHeight="1" x14ac:dyDescent="0.3">
      <c r="H826" s="31"/>
      <c r="I826" s="31"/>
      <c r="J826" s="31"/>
      <c r="K826" s="31"/>
      <c r="L826" s="31"/>
      <c r="M826" s="31"/>
    </row>
    <row r="827" spans="8:13" ht="15.75" customHeight="1" x14ac:dyDescent="0.3">
      <c r="H827" s="31"/>
      <c r="I827" s="31"/>
      <c r="J827" s="31"/>
      <c r="K827" s="31"/>
      <c r="L827" s="31"/>
      <c r="M827" s="31"/>
    </row>
    <row r="828" spans="8:13" ht="15.75" customHeight="1" x14ac:dyDescent="0.3">
      <c r="H828" s="31"/>
      <c r="I828" s="31"/>
      <c r="J828" s="31"/>
      <c r="K828" s="31"/>
      <c r="L828" s="31"/>
      <c r="M828" s="31"/>
    </row>
    <row r="829" spans="8:13" ht="15.75" customHeight="1" x14ac:dyDescent="0.3">
      <c r="H829" s="31"/>
      <c r="I829" s="31"/>
      <c r="J829" s="31"/>
      <c r="K829" s="31"/>
      <c r="L829" s="31"/>
      <c r="M829" s="31"/>
    </row>
    <row r="830" spans="8:13" ht="15.75" customHeight="1" x14ac:dyDescent="0.3">
      <c r="H830" s="31"/>
      <c r="I830" s="31"/>
      <c r="J830" s="31"/>
      <c r="K830" s="31"/>
      <c r="L830" s="31"/>
      <c r="M830" s="31"/>
    </row>
    <row r="831" spans="8:13" ht="15.75" customHeight="1" x14ac:dyDescent="0.3">
      <c r="H831" s="31"/>
      <c r="I831" s="31"/>
      <c r="J831" s="31"/>
      <c r="K831" s="31"/>
      <c r="L831" s="31"/>
      <c r="M831" s="31"/>
    </row>
    <row r="832" spans="8:13" ht="15.75" customHeight="1" x14ac:dyDescent="0.3">
      <c r="H832" s="31"/>
      <c r="I832" s="31"/>
      <c r="J832" s="31"/>
      <c r="K832" s="31"/>
      <c r="L832" s="31"/>
      <c r="M832" s="31"/>
    </row>
    <row r="833" spans="8:13" ht="15.75" customHeight="1" x14ac:dyDescent="0.3">
      <c r="H833" s="31"/>
      <c r="I833" s="31"/>
      <c r="J833" s="31"/>
      <c r="K833" s="31"/>
      <c r="L833" s="31"/>
      <c r="M833" s="31"/>
    </row>
    <row r="834" spans="8:13" ht="15.75" customHeight="1" x14ac:dyDescent="0.3">
      <c r="H834" s="31"/>
      <c r="I834" s="31"/>
      <c r="J834" s="31"/>
      <c r="K834" s="31"/>
      <c r="L834" s="31"/>
      <c r="M834" s="31"/>
    </row>
    <row r="835" spans="8:13" ht="15.75" customHeight="1" x14ac:dyDescent="0.3">
      <c r="H835" s="31"/>
      <c r="I835" s="31"/>
      <c r="J835" s="31"/>
      <c r="K835" s="31"/>
      <c r="L835" s="31"/>
      <c r="M835" s="31"/>
    </row>
    <row r="836" spans="8:13" ht="15.75" customHeight="1" x14ac:dyDescent="0.3">
      <c r="H836" s="31"/>
      <c r="I836" s="31"/>
      <c r="J836" s="31"/>
      <c r="K836" s="31"/>
      <c r="L836" s="31"/>
      <c r="M836" s="31"/>
    </row>
    <row r="837" spans="8:13" ht="15.75" customHeight="1" x14ac:dyDescent="0.3">
      <c r="H837" s="31"/>
      <c r="I837" s="31"/>
      <c r="J837" s="31"/>
      <c r="K837" s="31"/>
      <c r="L837" s="31"/>
      <c r="M837" s="31"/>
    </row>
    <row r="838" spans="8:13" ht="15.75" customHeight="1" x14ac:dyDescent="0.3">
      <c r="H838" s="31"/>
      <c r="I838" s="31"/>
      <c r="J838" s="31"/>
      <c r="K838" s="31"/>
      <c r="L838" s="31"/>
      <c r="M838" s="31"/>
    </row>
    <row r="839" spans="8:13" ht="15.75" customHeight="1" x14ac:dyDescent="0.3">
      <c r="H839" s="31"/>
      <c r="I839" s="31"/>
      <c r="J839" s="31"/>
      <c r="K839" s="31"/>
      <c r="L839" s="31"/>
      <c r="M839" s="31"/>
    </row>
    <row r="840" spans="8:13" ht="15.75" customHeight="1" x14ac:dyDescent="0.3">
      <c r="H840" s="31"/>
      <c r="I840" s="31"/>
      <c r="J840" s="31"/>
      <c r="K840" s="31"/>
      <c r="L840" s="31"/>
      <c r="M840" s="31"/>
    </row>
    <row r="841" spans="8:13" ht="15.75" customHeight="1" x14ac:dyDescent="0.3">
      <c r="H841" s="31"/>
      <c r="I841" s="31"/>
      <c r="J841" s="31"/>
      <c r="K841" s="31"/>
      <c r="L841" s="31"/>
      <c r="M841" s="31"/>
    </row>
    <row r="842" spans="8:13" ht="15.75" customHeight="1" x14ac:dyDescent="0.3">
      <c r="H842" s="31"/>
      <c r="I842" s="31"/>
      <c r="J842" s="31"/>
      <c r="K842" s="31"/>
      <c r="L842" s="31"/>
      <c r="M842" s="31"/>
    </row>
    <row r="843" spans="8:13" ht="15.75" customHeight="1" x14ac:dyDescent="0.3">
      <c r="H843" s="31"/>
      <c r="I843" s="31"/>
      <c r="J843" s="31"/>
      <c r="K843" s="31"/>
      <c r="L843" s="31"/>
      <c r="M843" s="31"/>
    </row>
    <row r="844" spans="8:13" ht="15.75" customHeight="1" x14ac:dyDescent="0.3">
      <c r="H844" s="31"/>
      <c r="I844" s="31"/>
      <c r="J844" s="31"/>
      <c r="K844" s="31"/>
      <c r="L844" s="31"/>
      <c r="M844" s="31"/>
    </row>
    <row r="845" spans="8:13" ht="15.75" customHeight="1" x14ac:dyDescent="0.3">
      <c r="H845" s="31"/>
      <c r="I845" s="31"/>
      <c r="J845" s="31"/>
      <c r="K845" s="31"/>
      <c r="L845" s="31"/>
      <c r="M845" s="31"/>
    </row>
    <row r="846" spans="8:13" ht="15.75" customHeight="1" x14ac:dyDescent="0.3">
      <c r="H846" s="31"/>
      <c r="I846" s="31"/>
      <c r="J846" s="31"/>
      <c r="K846" s="31"/>
      <c r="L846" s="31"/>
      <c r="M846" s="31"/>
    </row>
    <row r="847" spans="8:13" ht="15.75" customHeight="1" x14ac:dyDescent="0.3">
      <c r="H847" s="31"/>
      <c r="I847" s="31"/>
      <c r="J847" s="31"/>
      <c r="K847" s="31"/>
      <c r="L847" s="31"/>
      <c r="M847" s="31"/>
    </row>
    <row r="848" spans="8:13" ht="15.75" customHeight="1" x14ac:dyDescent="0.3">
      <c r="H848" s="31"/>
      <c r="I848" s="31"/>
      <c r="J848" s="31"/>
      <c r="K848" s="31"/>
      <c r="L848" s="31"/>
      <c r="M848" s="31"/>
    </row>
    <row r="849" spans="8:13" ht="15.75" customHeight="1" x14ac:dyDescent="0.3">
      <c r="H849" s="31"/>
      <c r="I849" s="31"/>
      <c r="J849" s="31"/>
      <c r="K849" s="31"/>
      <c r="L849" s="31"/>
      <c r="M849" s="31"/>
    </row>
    <row r="850" spans="8:13" ht="15.75" customHeight="1" x14ac:dyDescent="0.3">
      <c r="H850" s="31"/>
      <c r="I850" s="31"/>
      <c r="J850" s="31"/>
      <c r="K850" s="31"/>
      <c r="L850" s="31"/>
      <c r="M850" s="31"/>
    </row>
    <row r="851" spans="8:13" ht="15.75" customHeight="1" x14ac:dyDescent="0.3">
      <c r="H851" s="31"/>
      <c r="I851" s="31"/>
      <c r="J851" s="31"/>
      <c r="K851" s="31"/>
      <c r="L851" s="31"/>
      <c r="M851" s="31"/>
    </row>
    <row r="852" spans="8:13" ht="15.75" customHeight="1" x14ac:dyDescent="0.3">
      <c r="H852" s="31"/>
      <c r="I852" s="31"/>
      <c r="J852" s="31"/>
      <c r="K852" s="31"/>
      <c r="L852" s="31"/>
      <c r="M852" s="31"/>
    </row>
    <row r="853" spans="8:13" ht="15.75" customHeight="1" x14ac:dyDescent="0.3">
      <c r="H853" s="31"/>
      <c r="I853" s="31"/>
      <c r="J853" s="31"/>
      <c r="K853" s="31"/>
      <c r="L853" s="31"/>
      <c r="M853" s="31"/>
    </row>
    <row r="854" spans="8:13" ht="15.75" customHeight="1" x14ac:dyDescent="0.3">
      <c r="H854" s="31"/>
      <c r="I854" s="31"/>
      <c r="J854" s="31"/>
      <c r="K854" s="31"/>
      <c r="L854" s="31"/>
      <c r="M854" s="31"/>
    </row>
    <row r="855" spans="8:13" ht="15.75" customHeight="1" x14ac:dyDescent="0.3">
      <c r="H855" s="31"/>
      <c r="I855" s="31"/>
      <c r="J855" s="31"/>
      <c r="K855" s="31"/>
      <c r="L855" s="31"/>
      <c r="M855" s="31"/>
    </row>
    <row r="856" spans="8:13" ht="15.75" customHeight="1" x14ac:dyDescent="0.3">
      <c r="H856" s="31"/>
      <c r="I856" s="31"/>
      <c r="J856" s="31"/>
      <c r="K856" s="31"/>
      <c r="L856" s="31"/>
      <c r="M856" s="31"/>
    </row>
    <row r="857" spans="8:13" ht="15.75" customHeight="1" x14ac:dyDescent="0.3">
      <c r="H857" s="31"/>
      <c r="I857" s="31"/>
      <c r="J857" s="31"/>
      <c r="K857" s="31"/>
      <c r="L857" s="31"/>
      <c r="M857" s="31"/>
    </row>
    <row r="858" spans="8:13" ht="15.75" customHeight="1" x14ac:dyDescent="0.3">
      <c r="H858" s="31"/>
      <c r="I858" s="31"/>
      <c r="J858" s="31"/>
      <c r="K858" s="31"/>
      <c r="L858" s="31"/>
      <c r="M858" s="31"/>
    </row>
    <row r="859" spans="8:13" ht="15.75" customHeight="1" x14ac:dyDescent="0.3">
      <c r="H859" s="31"/>
      <c r="I859" s="31"/>
      <c r="J859" s="31"/>
      <c r="K859" s="31"/>
      <c r="L859" s="31"/>
      <c r="M859" s="31"/>
    </row>
    <row r="860" spans="8:13" ht="15.75" customHeight="1" x14ac:dyDescent="0.3">
      <c r="H860" s="31"/>
      <c r="I860" s="31"/>
      <c r="J860" s="31"/>
      <c r="K860" s="31"/>
      <c r="L860" s="31"/>
      <c r="M860" s="31"/>
    </row>
    <row r="861" spans="8:13" ht="15.75" customHeight="1" x14ac:dyDescent="0.3">
      <c r="H861" s="31"/>
      <c r="I861" s="31"/>
      <c r="J861" s="31"/>
      <c r="K861" s="31"/>
      <c r="L861" s="31"/>
      <c r="M861" s="31"/>
    </row>
    <row r="862" spans="8:13" ht="15.75" customHeight="1" x14ac:dyDescent="0.3">
      <c r="H862" s="31"/>
      <c r="I862" s="31"/>
      <c r="J862" s="31"/>
      <c r="K862" s="31"/>
      <c r="L862" s="31"/>
      <c r="M862" s="31"/>
    </row>
    <row r="863" spans="8:13" ht="15.75" customHeight="1" x14ac:dyDescent="0.3">
      <c r="H863" s="31"/>
      <c r="I863" s="31"/>
      <c r="J863" s="31"/>
      <c r="K863" s="31"/>
      <c r="L863" s="31"/>
      <c r="M863" s="31"/>
    </row>
    <row r="864" spans="8:13" ht="15.75" customHeight="1" x14ac:dyDescent="0.3">
      <c r="H864" s="31"/>
      <c r="I864" s="31"/>
      <c r="J864" s="31"/>
      <c r="K864" s="31"/>
      <c r="L864" s="31"/>
      <c r="M864" s="31"/>
    </row>
    <row r="865" spans="8:13" ht="15.75" customHeight="1" x14ac:dyDescent="0.3">
      <c r="H865" s="31"/>
      <c r="I865" s="31"/>
      <c r="J865" s="31"/>
      <c r="K865" s="31"/>
      <c r="L865" s="31"/>
      <c r="M865" s="31"/>
    </row>
    <row r="866" spans="8:13" ht="15.75" customHeight="1" x14ac:dyDescent="0.3">
      <c r="H866" s="31"/>
      <c r="I866" s="31"/>
      <c r="J866" s="31"/>
      <c r="K866" s="31"/>
      <c r="L866" s="31"/>
      <c r="M866" s="31"/>
    </row>
    <row r="867" spans="8:13" ht="15.75" customHeight="1" x14ac:dyDescent="0.3">
      <c r="H867" s="31"/>
      <c r="I867" s="31"/>
      <c r="J867" s="31"/>
      <c r="K867" s="31"/>
      <c r="L867" s="31"/>
      <c r="M867" s="31"/>
    </row>
    <row r="868" spans="8:13" ht="15.75" customHeight="1" x14ac:dyDescent="0.3">
      <c r="H868" s="31"/>
      <c r="I868" s="31"/>
      <c r="J868" s="31"/>
      <c r="K868" s="31"/>
      <c r="L868" s="31"/>
      <c r="M868" s="31"/>
    </row>
    <row r="869" spans="8:13" ht="15.75" customHeight="1" x14ac:dyDescent="0.3">
      <c r="H869" s="31"/>
      <c r="I869" s="31"/>
      <c r="J869" s="31"/>
      <c r="K869" s="31"/>
      <c r="L869" s="31"/>
      <c r="M869" s="31"/>
    </row>
    <row r="870" spans="8:13" ht="15.75" customHeight="1" x14ac:dyDescent="0.3">
      <c r="H870" s="31"/>
      <c r="I870" s="31"/>
      <c r="J870" s="31"/>
      <c r="K870" s="31"/>
      <c r="L870" s="31"/>
      <c r="M870" s="31"/>
    </row>
    <row r="871" spans="8:13" ht="15.75" customHeight="1" x14ac:dyDescent="0.3">
      <c r="H871" s="31"/>
      <c r="I871" s="31"/>
      <c r="J871" s="31"/>
      <c r="K871" s="31"/>
      <c r="L871" s="31"/>
      <c r="M871" s="31"/>
    </row>
    <row r="872" spans="8:13" ht="15.75" customHeight="1" x14ac:dyDescent="0.3">
      <c r="H872" s="31"/>
      <c r="I872" s="31"/>
      <c r="J872" s="31"/>
      <c r="K872" s="31"/>
      <c r="L872" s="31"/>
      <c r="M872" s="31"/>
    </row>
    <row r="873" spans="8:13" ht="15.75" customHeight="1" x14ac:dyDescent="0.3">
      <c r="H873" s="31"/>
      <c r="I873" s="31"/>
      <c r="J873" s="31"/>
      <c r="K873" s="31"/>
      <c r="L873" s="31"/>
      <c r="M873" s="31"/>
    </row>
    <row r="874" spans="8:13" ht="15.75" customHeight="1" x14ac:dyDescent="0.3">
      <c r="H874" s="31"/>
      <c r="I874" s="31"/>
      <c r="J874" s="31"/>
      <c r="K874" s="31"/>
      <c r="L874" s="31"/>
      <c r="M874" s="31"/>
    </row>
    <row r="875" spans="8:13" ht="15.75" customHeight="1" x14ac:dyDescent="0.3">
      <c r="H875" s="31"/>
      <c r="I875" s="31"/>
      <c r="J875" s="31"/>
      <c r="K875" s="31"/>
      <c r="L875" s="31"/>
      <c r="M875" s="31"/>
    </row>
    <row r="876" spans="8:13" ht="15.75" customHeight="1" x14ac:dyDescent="0.3">
      <c r="H876" s="31"/>
      <c r="I876" s="31"/>
      <c r="J876" s="31"/>
      <c r="K876" s="31"/>
      <c r="L876" s="31"/>
      <c r="M876" s="31"/>
    </row>
    <row r="877" spans="8:13" ht="15.75" customHeight="1" x14ac:dyDescent="0.3">
      <c r="H877" s="31"/>
      <c r="I877" s="31"/>
      <c r="J877" s="31"/>
      <c r="K877" s="31"/>
      <c r="L877" s="31"/>
      <c r="M877" s="31"/>
    </row>
    <row r="878" spans="8:13" ht="15.75" customHeight="1" x14ac:dyDescent="0.3">
      <c r="H878" s="31"/>
      <c r="I878" s="31"/>
      <c r="J878" s="31"/>
      <c r="K878" s="31"/>
      <c r="L878" s="31"/>
      <c r="M878" s="31"/>
    </row>
    <row r="879" spans="8:13" ht="15.75" customHeight="1" x14ac:dyDescent="0.3">
      <c r="H879" s="31"/>
      <c r="I879" s="31"/>
      <c r="J879" s="31"/>
      <c r="K879" s="31"/>
      <c r="L879" s="31"/>
      <c r="M879" s="31"/>
    </row>
    <row r="880" spans="8:13" ht="15.75" customHeight="1" x14ac:dyDescent="0.3">
      <c r="H880" s="31"/>
      <c r="I880" s="31"/>
      <c r="J880" s="31"/>
      <c r="K880" s="31"/>
      <c r="L880" s="31"/>
      <c r="M880" s="31"/>
    </row>
    <row r="881" spans="8:13" ht="15.75" customHeight="1" x14ac:dyDescent="0.3">
      <c r="H881" s="31"/>
      <c r="I881" s="31"/>
      <c r="J881" s="31"/>
      <c r="K881" s="31"/>
      <c r="L881" s="31"/>
      <c r="M881" s="31"/>
    </row>
    <row r="882" spans="8:13" ht="15.75" customHeight="1" x14ac:dyDescent="0.3">
      <c r="H882" s="31"/>
      <c r="I882" s="31"/>
      <c r="J882" s="31"/>
      <c r="K882" s="31"/>
      <c r="L882" s="31"/>
      <c r="M882" s="31"/>
    </row>
    <row r="883" spans="8:13" ht="15.75" customHeight="1" x14ac:dyDescent="0.3">
      <c r="H883" s="31"/>
      <c r="I883" s="31"/>
      <c r="J883" s="31"/>
      <c r="K883" s="31"/>
      <c r="L883" s="31"/>
      <c r="M883" s="31"/>
    </row>
    <row r="884" spans="8:13" ht="15.75" customHeight="1" x14ac:dyDescent="0.3">
      <c r="H884" s="31"/>
      <c r="I884" s="31"/>
      <c r="J884" s="31"/>
      <c r="K884" s="31"/>
      <c r="L884" s="31"/>
      <c r="M884" s="31"/>
    </row>
    <row r="885" spans="8:13" ht="15.75" customHeight="1" x14ac:dyDescent="0.3">
      <c r="H885" s="31"/>
      <c r="I885" s="31"/>
      <c r="J885" s="31"/>
      <c r="K885" s="31"/>
      <c r="L885" s="31"/>
      <c r="M885" s="31"/>
    </row>
    <row r="886" spans="8:13" ht="15.75" customHeight="1" x14ac:dyDescent="0.3">
      <c r="H886" s="31"/>
      <c r="I886" s="31"/>
      <c r="J886" s="31"/>
      <c r="K886" s="31"/>
      <c r="L886" s="31"/>
      <c r="M886" s="31"/>
    </row>
    <row r="887" spans="8:13" ht="15.75" customHeight="1" x14ac:dyDescent="0.3">
      <c r="H887" s="31"/>
      <c r="I887" s="31"/>
      <c r="J887" s="31"/>
      <c r="K887" s="31"/>
      <c r="L887" s="31"/>
      <c r="M887" s="31"/>
    </row>
    <row r="888" spans="8:13" ht="15.75" customHeight="1" x14ac:dyDescent="0.3">
      <c r="H888" s="31"/>
      <c r="I888" s="31"/>
      <c r="J888" s="31"/>
      <c r="K888" s="31"/>
      <c r="L888" s="31"/>
      <c r="M888" s="31"/>
    </row>
    <row r="889" spans="8:13" ht="15.75" customHeight="1" x14ac:dyDescent="0.3">
      <c r="H889" s="31"/>
      <c r="I889" s="31"/>
      <c r="J889" s="31"/>
      <c r="K889" s="31"/>
      <c r="L889" s="31"/>
      <c r="M889" s="31"/>
    </row>
    <row r="890" spans="8:13" ht="15.75" customHeight="1" x14ac:dyDescent="0.3">
      <c r="H890" s="31"/>
      <c r="I890" s="31"/>
      <c r="J890" s="31"/>
      <c r="K890" s="31"/>
      <c r="L890" s="31"/>
      <c r="M890" s="31"/>
    </row>
    <row r="891" spans="8:13" ht="15.75" customHeight="1" x14ac:dyDescent="0.3">
      <c r="H891" s="31"/>
      <c r="I891" s="31"/>
      <c r="J891" s="31"/>
      <c r="K891" s="31"/>
      <c r="L891" s="31"/>
      <c r="M891" s="31"/>
    </row>
    <row r="892" spans="8:13" ht="15.75" customHeight="1" x14ac:dyDescent="0.3">
      <c r="H892" s="31"/>
      <c r="I892" s="31"/>
      <c r="J892" s="31"/>
      <c r="K892" s="31"/>
      <c r="L892" s="31"/>
      <c r="M892" s="31"/>
    </row>
    <row r="893" spans="8:13" ht="15.75" customHeight="1" x14ac:dyDescent="0.3">
      <c r="H893" s="31"/>
      <c r="I893" s="31"/>
      <c r="J893" s="31"/>
      <c r="K893" s="31"/>
      <c r="L893" s="31"/>
      <c r="M893" s="31"/>
    </row>
    <row r="894" spans="8:13" ht="15.75" customHeight="1" x14ac:dyDescent="0.3">
      <c r="H894" s="31"/>
      <c r="I894" s="31"/>
      <c r="J894" s="31"/>
      <c r="K894" s="31"/>
      <c r="L894" s="31"/>
      <c r="M894" s="31"/>
    </row>
    <row r="895" spans="8:13" ht="15.75" customHeight="1" x14ac:dyDescent="0.3">
      <c r="H895" s="31"/>
      <c r="I895" s="31"/>
      <c r="J895" s="31"/>
      <c r="K895" s="31"/>
      <c r="L895" s="31"/>
      <c r="M895" s="31"/>
    </row>
    <row r="896" spans="8:13" ht="15.75" customHeight="1" x14ac:dyDescent="0.3">
      <c r="H896" s="31"/>
      <c r="I896" s="31"/>
      <c r="J896" s="31"/>
      <c r="K896" s="31"/>
      <c r="L896" s="31"/>
      <c r="M896" s="31"/>
    </row>
    <row r="897" spans="8:13" ht="15.75" customHeight="1" x14ac:dyDescent="0.3">
      <c r="H897" s="31"/>
      <c r="I897" s="31"/>
      <c r="J897" s="31"/>
      <c r="K897" s="31"/>
      <c r="L897" s="31"/>
      <c r="M897" s="31"/>
    </row>
    <row r="898" spans="8:13" ht="15.75" customHeight="1" x14ac:dyDescent="0.3">
      <c r="H898" s="31"/>
      <c r="I898" s="31"/>
      <c r="J898" s="31"/>
      <c r="K898" s="31"/>
      <c r="L898" s="31"/>
      <c r="M898" s="31"/>
    </row>
    <row r="899" spans="8:13" ht="15.75" customHeight="1" x14ac:dyDescent="0.3">
      <c r="H899" s="31"/>
      <c r="I899" s="31"/>
      <c r="J899" s="31"/>
      <c r="K899" s="31"/>
      <c r="L899" s="31"/>
      <c r="M899" s="31"/>
    </row>
    <row r="900" spans="8:13" ht="15.75" customHeight="1" x14ac:dyDescent="0.3">
      <c r="H900" s="31"/>
      <c r="I900" s="31"/>
      <c r="J900" s="31"/>
      <c r="K900" s="31"/>
      <c r="L900" s="31"/>
      <c r="M900" s="31"/>
    </row>
    <row r="901" spans="8:13" ht="15.75" customHeight="1" x14ac:dyDescent="0.3">
      <c r="H901" s="31"/>
      <c r="I901" s="31"/>
      <c r="J901" s="31"/>
      <c r="K901" s="31"/>
      <c r="L901" s="31"/>
      <c r="M901" s="31"/>
    </row>
    <row r="902" spans="8:13" ht="15.75" customHeight="1" x14ac:dyDescent="0.3">
      <c r="H902" s="31"/>
      <c r="I902" s="31"/>
      <c r="J902" s="31"/>
      <c r="K902" s="31"/>
      <c r="L902" s="31"/>
      <c r="M902" s="31"/>
    </row>
    <row r="903" spans="8:13" ht="15.75" customHeight="1" x14ac:dyDescent="0.3">
      <c r="H903" s="31"/>
      <c r="I903" s="31"/>
      <c r="J903" s="31"/>
      <c r="K903" s="31"/>
      <c r="L903" s="31"/>
      <c r="M903" s="31"/>
    </row>
    <row r="904" spans="8:13" ht="15.75" customHeight="1" x14ac:dyDescent="0.3">
      <c r="H904" s="31"/>
      <c r="I904" s="31"/>
      <c r="J904" s="31"/>
      <c r="K904" s="31"/>
      <c r="L904" s="31"/>
      <c r="M904" s="31"/>
    </row>
    <row r="905" spans="8:13" ht="15.75" customHeight="1" x14ac:dyDescent="0.3">
      <c r="H905" s="31"/>
      <c r="I905" s="31"/>
      <c r="J905" s="31"/>
      <c r="K905" s="31"/>
      <c r="L905" s="31"/>
      <c r="M905" s="31"/>
    </row>
    <row r="906" spans="8:13" ht="15.75" customHeight="1" x14ac:dyDescent="0.3">
      <c r="H906" s="31"/>
      <c r="I906" s="31"/>
      <c r="J906" s="31"/>
      <c r="K906" s="31"/>
      <c r="L906" s="31"/>
      <c r="M906" s="31"/>
    </row>
    <row r="907" spans="8:13" ht="15.75" customHeight="1" x14ac:dyDescent="0.3">
      <c r="H907" s="31"/>
      <c r="I907" s="31"/>
      <c r="J907" s="31"/>
      <c r="K907" s="31"/>
      <c r="L907" s="31"/>
      <c r="M907" s="31"/>
    </row>
    <row r="908" spans="8:13" ht="15.75" customHeight="1" x14ac:dyDescent="0.3">
      <c r="H908" s="31"/>
      <c r="I908" s="31"/>
      <c r="J908" s="31"/>
      <c r="K908" s="31"/>
      <c r="L908" s="31"/>
      <c r="M908" s="31"/>
    </row>
    <row r="909" spans="8:13" ht="15.75" customHeight="1" x14ac:dyDescent="0.3">
      <c r="H909" s="31"/>
      <c r="I909" s="31"/>
      <c r="J909" s="31"/>
      <c r="K909" s="31"/>
      <c r="L909" s="31"/>
      <c r="M909" s="31"/>
    </row>
    <row r="910" spans="8:13" ht="15.75" customHeight="1" x14ac:dyDescent="0.3">
      <c r="H910" s="31"/>
      <c r="I910" s="31"/>
      <c r="J910" s="31"/>
      <c r="K910" s="31"/>
      <c r="L910" s="31"/>
      <c r="M910" s="31"/>
    </row>
    <row r="911" spans="8:13" ht="15.75" customHeight="1" x14ac:dyDescent="0.3">
      <c r="H911" s="31"/>
      <c r="I911" s="31"/>
      <c r="J911" s="31"/>
      <c r="K911" s="31"/>
      <c r="L911" s="31"/>
      <c r="M911" s="31"/>
    </row>
    <row r="912" spans="8:13" ht="15.75" customHeight="1" x14ac:dyDescent="0.3">
      <c r="H912" s="31"/>
      <c r="I912" s="31"/>
      <c r="J912" s="31"/>
      <c r="K912" s="31"/>
      <c r="L912" s="31"/>
      <c r="M912" s="31"/>
    </row>
    <row r="913" spans="8:13" ht="15.75" customHeight="1" x14ac:dyDescent="0.3">
      <c r="H913" s="31"/>
      <c r="I913" s="31"/>
      <c r="J913" s="31"/>
      <c r="K913" s="31"/>
      <c r="L913" s="31"/>
      <c r="M913" s="31"/>
    </row>
    <row r="914" spans="8:13" ht="15.75" customHeight="1" x14ac:dyDescent="0.3">
      <c r="H914" s="31"/>
      <c r="I914" s="31"/>
      <c r="J914" s="31"/>
      <c r="K914" s="31"/>
      <c r="L914" s="31"/>
      <c r="M914" s="31"/>
    </row>
    <row r="915" spans="8:13" ht="15.75" customHeight="1" x14ac:dyDescent="0.3">
      <c r="H915" s="31"/>
      <c r="I915" s="31"/>
      <c r="J915" s="31"/>
      <c r="K915" s="31"/>
      <c r="L915" s="31"/>
      <c r="M915" s="31"/>
    </row>
    <row r="916" spans="8:13" ht="15.75" customHeight="1" x14ac:dyDescent="0.3">
      <c r="H916" s="31"/>
      <c r="I916" s="31"/>
      <c r="J916" s="31"/>
      <c r="K916" s="31"/>
      <c r="L916" s="31"/>
      <c r="M916" s="31"/>
    </row>
    <row r="917" spans="8:13" ht="15.75" customHeight="1" x14ac:dyDescent="0.3">
      <c r="H917" s="31"/>
      <c r="I917" s="31"/>
      <c r="J917" s="31"/>
      <c r="K917" s="31"/>
      <c r="L917" s="31"/>
      <c r="M917" s="31"/>
    </row>
    <row r="918" spans="8:13" ht="15.75" customHeight="1" x14ac:dyDescent="0.3">
      <c r="H918" s="31"/>
      <c r="I918" s="31"/>
      <c r="J918" s="31"/>
      <c r="K918" s="31"/>
      <c r="L918" s="31"/>
      <c r="M918" s="31"/>
    </row>
    <row r="919" spans="8:13" ht="15.75" customHeight="1" x14ac:dyDescent="0.3">
      <c r="H919" s="31"/>
      <c r="I919" s="31"/>
      <c r="J919" s="31"/>
      <c r="K919" s="31"/>
      <c r="L919" s="31"/>
      <c r="M919" s="31"/>
    </row>
    <row r="920" spans="8:13" ht="15.75" customHeight="1" x14ac:dyDescent="0.3">
      <c r="H920" s="31"/>
      <c r="I920" s="31"/>
      <c r="J920" s="31"/>
      <c r="K920" s="31"/>
      <c r="L920" s="31"/>
      <c r="M920" s="31"/>
    </row>
    <row r="921" spans="8:13" ht="15.75" customHeight="1" x14ac:dyDescent="0.3">
      <c r="H921" s="31"/>
      <c r="I921" s="31"/>
      <c r="J921" s="31"/>
      <c r="K921" s="31"/>
      <c r="L921" s="31"/>
      <c r="M921" s="31"/>
    </row>
    <row r="922" spans="8:13" ht="15.75" customHeight="1" x14ac:dyDescent="0.3">
      <c r="H922" s="31"/>
      <c r="I922" s="31"/>
      <c r="J922" s="31"/>
      <c r="K922" s="31"/>
      <c r="L922" s="31"/>
      <c r="M922" s="31"/>
    </row>
    <row r="923" spans="8:13" ht="15.75" customHeight="1" x14ac:dyDescent="0.3">
      <c r="H923" s="31"/>
      <c r="I923" s="31"/>
      <c r="J923" s="31"/>
      <c r="K923" s="31"/>
      <c r="L923" s="31"/>
      <c r="M923" s="31"/>
    </row>
    <row r="924" spans="8:13" ht="15.75" customHeight="1" x14ac:dyDescent="0.3">
      <c r="H924" s="31"/>
      <c r="I924" s="31"/>
      <c r="J924" s="31"/>
      <c r="K924" s="31"/>
      <c r="L924" s="31"/>
      <c r="M924" s="31"/>
    </row>
    <row r="925" spans="8:13" ht="15.75" customHeight="1" x14ac:dyDescent="0.3">
      <c r="H925" s="31"/>
      <c r="I925" s="31"/>
      <c r="J925" s="31"/>
      <c r="K925" s="31"/>
      <c r="L925" s="31"/>
      <c r="M925" s="31"/>
    </row>
    <row r="926" spans="8:13" ht="15.75" customHeight="1" x14ac:dyDescent="0.3">
      <c r="H926" s="31"/>
      <c r="I926" s="31"/>
      <c r="J926" s="31"/>
      <c r="K926" s="31"/>
      <c r="L926" s="31"/>
      <c r="M926" s="31"/>
    </row>
    <row r="927" spans="8:13" ht="15.75" customHeight="1" x14ac:dyDescent="0.3">
      <c r="H927" s="31"/>
      <c r="I927" s="31"/>
      <c r="J927" s="31"/>
      <c r="K927" s="31"/>
      <c r="L927" s="31"/>
      <c r="M927" s="31"/>
    </row>
    <row r="928" spans="8:13" ht="15.75" customHeight="1" x14ac:dyDescent="0.3">
      <c r="H928" s="31"/>
      <c r="I928" s="31"/>
      <c r="J928" s="31"/>
      <c r="K928" s="31"/>
      <c r="L928" s="31"/>
      <c r="M928" s="31"/>
    </row>
    <row r="929" spans="8:13" ht="15.75" customHeight="1" x14ac:dyDescent="0.3">
      <c r="H929" s="31"/>
      <c r="I929" s="31"/>
      <c r="J929" s="31"/>
      <c r="K929" s="31"/>
      <c r="L929" s="31"/>
      <c r="M929" s="31"/>
    </row>
    <row r="930" spans="8:13" ht="15.75" customHeight="1" x14ac:dyDescent="0.3">
      <c r="H930" s="31"/>
      <c r="I930" s="31"/>
      <c r="J930" s="31"/>
      <c r="K930" s="31"/>
      <c r="L930" s="31"/>
      <c r="M930" s="31"/>
    </row>
    <row r="931" spans="8:13" ht="15.75" customHeight="1" x14ac:dyDescent="0.3">
      <c r="H931" s="31"/>
      <c r="I931" s="31"/>
      <c r="J931" s="31"/>
      <c r="K931" s="31"/>
      <c r="L931" s="31"/>
      <c r="M931" s="31"/>
    </row>
    <row r="932" spans="8:13" ht="15.75" customHeight="1" x14ac:dyDescent="0.3">
      <c r="H932" s="31"/>
      <c r="I932" s="31"/>
      <c r="J932" s="31"/>
      <c r="K932" s="31"/>
      <c r="L932" s="31"/>
      <c r="M932" s="31"/>
    </row>
    <row r="933" spans="8:13" ht="15.75" customHeight="1" x14ac:dyDescent="0.3">
      <c r="H933" s="31"/>
      <c r="I933" s="31"/>
      <c r="J933" s="31"/>
      <c r="K933" s="31"/>
      <c r="L933" s="31"/>
      <c r="M933" s="31"/>
    </row>
    <row r="934" spans="8:13" ht="15.75" customHeight="1" x14ac:dyDescent="0.3">
      <c r="H934" s="31"/>
      <c r="I934" s="31"/>
      <c r="J934" s="31"/>
      <c r="K934" s="31"/>
      <c r="L934" s="31"/>
      <c r="M934" s="31"/>
    </row>
    <row r="935" spans="8:13" ht="15.75" customHeight="1" x14ac:dyDescent="0.3">
      <c r="H935" s="31"/>
      <c r="I935" s="31"/>
      <c r="J935" s="31"/>
      <c r="K935" s="31"/>
      <c r="L935" s="31"/>
      <c r="M935" s="31"/>
    </row>
    <row r="936" spans="8:13" ht="15.75" customHeight="1" x14ac:dyDescent="0.3">
      <c r="H936" s="31"/>
      <c r="I936" s="31"/>
      <c r="J936" s="31"/>
      <c r="K936" s="31"/>
      <c r="L936" s="31"/>
      <c r="M936" s="31"/>
    </row>
    <row r="937" spans="8:13" ht="15.75" customHeight="1" x14ac:dyDescent="0.3">
      <c r="H937" s="31"/>
      <c r="I937" s="31"/>
      <c r="J937" s="31"/>
      <c r="K937" s="31"/>
      <c r="L937" s="31"/>
      <c r="M937" s="31"/>
    </row>
    <row r="938" spans="8:13" ht="15.75" customHeight="1" x14ac:dyDescent="0.3">
      <c r="H938" s="31"/>
      <c r="I938" s="31"/>
      <c r="J938" s="31"/>
      <c r="K938" s="31"/>
      <c r="L938" s="31"/>
      <c r="M938" s="31"/>
    </row>
    <row r="939" spans="8:13" ht="15.75" customHeight="1" x14ac:dyDescent="0.3">
      <c r="H939" s="31"/>
      <c r="I939" s="31"/>
      <c r="J939" s="31"/>
      <c r="K939" s="31"/>
      <c r="L939" s="31"/>
      <c r="M939" s="31"/>
    </row>
    <row r="940" spans="8:13" ht="15.75" customHeight="1" x14ac:dyDescent="0.3">
      <c r="H940" s="31"/>
      <c r="I940" s="31"/>
      <c r="J940" s="31"/>
      <c r="K940" s="31"/>
      <c r="L940" s="31"/>
      <c r="M940" s="31"/>
    </row>
    <row r="941" spans="8:13" ht="15.75" customHeight="1" x14ac:dyDescent="0.3">
      <c r="H941" s="31"/>
      <c r="I941" s="31"/>
      <c r="J941" s="31"/>
      <c r="K941" s="31"/>
      <c r="L941" s="31"/>
      <c r="M941" s="31"/>
    </row>
    <row r="942" spans="8:13" ht="15.75" customHeight="1" x14ac:dyDescent="0.3">
      <c r="H942" s="31"/>
      <c r="I942" s="31"/>
      <c r="J942" s="31"/>
      <c r="K942" s="31"/>
      <c r="L942" s="31"/>
      <c r="M942" s="31"/>
    </row>
    <row r="943" spans="8:13" ht="15.75" customHeight="1" x14ac:dyDescent="0.3">
      <c r="H943" s="31"/>
      <c r="I943" s="31"/>
      <c r="J943" s="31"/>
      <c r="K943" s="31"/>
      <c r="L943" s="31"/>
      <c r="M943" s="31"/>
    </row>
    <row r="944" spans="8:13" ht="15.75" customHeight="1" x14ac:dyDescent="0.3">
      <c r="H944" s="31"/>
      <c r="I944" s="31"/>
      <c r="J944" s="31"/>
      <c r="K944" s="31"/>
      <c r="L944" s="31"/>
      <c r="M944" s="31"/>
    </row>
    <row r="945" spans="8:13" ht="15.75" customHeight="1" x14ac:dyDescent="0.3">
      <c r="H945" s="31"/>
      <c r="I945" s="31"/>
      <c r="J945" s="31"/>
      <c r="K945" s="31"/>
      <c r="L945" s="31"/>
      <c r="M945" s="31"/>
    </row>
    <row r="946" spans="8:13" ht="15.75" customHeight="1" x14ac:dyDescent="0.3">
      <c r="H946" s="31"/>
      <c r="I946" s="31"/>
      <c r="J946" s="31"/>
      <c r="K946" s="31"/>
      <c r="L946" s="31"/>
      <c r="M946" s="31"/>
    </row>
    <row r="947" spans="8:13" ht="15.75" customHeight="1" x14ac:dyDescent="0.3">
      <c r="H947" s="31"/>
      <c r="I947" s="31"/>
      <c r="J947" s="31"/>
      <c r="K947" s="31"/>
      <c r="L947" s="31"/>
      <c r="M947" s="31"/>
    </row>
    <row r="948" spans="8:13" ht="15.75" customHeight="1" x14ac:dyDescent="0.3">
      <c r="H948" s="31"/>
      <c r="I948" s="31"/>
      <c r="J948" s="31"/>
      <c r="K948" s="31"/>
      <c r="L948" s="31"/>
      <c r="M948" s="31"/>
    </row>
    <row r="949" spans="8:13" ht="15.75" customHeight="1" x14ac:dyDescent="0.3">
      <c r="H949" s="31"/>
      <c r="I949" s="31"/>
      <c r="J949" s="31"/>
      <c r="K949" s="31"/>
      <c r="L949" s="31"/>
      <c r="M949" s="31"/>
    </row>
    <row r="950" spans="8:13" ht="15.75" customHeight="1" x14ac:dyDescent="0.3">
      <c r="H950" s="31"/>
      <c r="I950" s="31"/>
      <c r="J950" s="31"/>
      <c r="K950" s="31"/>
      <c r="L950" s="31"/>
      <c r="M950" s="31"/>
    </row>
    <row r="951" spans="8:13" ht="15.75" customHeight="1" x14ac:dyDescent="0.3">
      <c r="H951" s="31"/>
      <c r="I951" s="31"/>
      <c r="J951" s="31"/>
      <c r="K951" s="31"/>
      <c r="L951" s="31"/>
      <c r="M951" s="31"/>
    </row>
    <row r="952" spans="8:13" ht="15.75" customHeight="1" x14ac:dyDescent="0.3">
      <c r="H952" s="31"/>
      <c r="I952" s="31"/>
      <c r="J952" s="31"/>
      <c r="K952" s="31"/>
      <c r="L952" s="31"/>
      <c r="M952" s="31"/>
    </row>
    <row r="953" spans="8:13" ht="15.75" customHeight="1" x14ac:dyDescent="0.3">
      <c r="H953" s="31"/>
      <c r="I953" s="31"/>
      <c r="J953" s="31"/>
      <c r="K953" s="31"/>
      <c r="L953" s="31"/>
      <c r="M953" s="31"/>
    </row>
    <row r="954" spans="8:13" ht="15.75" customHeight="1" x14ac:dyDescent="0.3">
      <c r="H954" s="31"/>
      <c r="I954" s="31"/>
      <c r="J954" s="31"/>
      <c r="K954" s="31"/>
      <c r="L954" s="31"/>
      <c r="M954" s="31"/>
    </row>
    <row r="955" spans="8:13" ht="15.75" customHeight="1" x14ac:dyDescent="0.3">
      <c r="H955" s="31"/>
      <c r="I955" s="31"/>
      <c r="J955" s="31"/>
      <c r="K955" s="31"/>
      <c r="L955" s="31"/>
      <c r="M955" s="31"/>
    </row>
    <row r="956" spans="8:13" ht="15.75" customHeight="1" x14ac:dyDescent="0.3">
      <c r="H956" s="31"/>
      <c r="I956" s="31"/>
      <c r="J956" s="31"/>
      <c r="K956" s="31"/>
      <c r="L956" s="31"/>
      <c r="M956" s="31"/>
    </row>
    <row r="957" spans="8:13" ht="15.75" customHeight="1" x14ac:dyDescent="0.3">
      <c r="H957" s="31"/>
      <c r="I957" s="31"/>
      <c r="J957" s="31"/>
      <c r="K957" s="31"/>
      <c r="L957" s="31"/>
      <c r="M957" s="31"/>
    </row>
    <row r="958" spans="8:13" ht="15.75" customHeight="1" x14ac:dyDescent="0.3">
      <c r="H958" s="31"/>
      <c r="I958" s="31"/>
      <c r="J958" s="31"/>
      <c r="K958" s="31"/>
      <c r="L958" s="31"/>
      <c r="M958" s="31"/>
    </row>
    <row r="959" spans="8:13" ht="15.75" customHeight="1" x14ac:dyDescent="0.3">
      <c r="H959" s="31"/>
      <c r="I959" s="31"/>
      <c r="J959" s="31"/>
      <c r="K959" s="31"/>
      <c r="L959" s="31"/>
      <c r="M959" s="31"/>
    </row>
    <row r="960" spans="8:13" ht="15.75" customHeight="1" x14ac:dyDescent="0.3">
      <c r="H960" s="31"/>
      <c r="I960" s="31"/>
      <c r="J960" s="31"/>
      <c r="K960" s="31"/>
      <c r="L960" s="31"/>
      <c r="M960" s="31"/>
    </row>
    <row r="961" spans="8:13" ht="15.75" customHeight="1" x14ac:dyDescent="0.3">
      <c r="H961" s="31"/>
      <c r="I961" s="31"/>
      <c r="J961" s="31"/>
      <c r="K961" s="31"/>
      <c r="L961" s="31"/>
      <c r="M961" s="31"/>
    </row>
    <row r="962" spans="8:13" ht="15.75" customHeight="1" x14ac:dyDescent="0.3">
      <c r="H962" s="31"/>
      <c r="I962" s="31"/>
      <c r="J962" s="31"/>
      <c r="K962" s="31"/>
      <c r="L962" s="31"/>
      <c r="M962" s="31"/>
    </row>
    <row r="963" spans="8:13" ht="15.75" customHeight="1" x14ac:dyDescent="0.3">
      <c r="H963" s="31"/>
      <c r="I963" s="31"/>
      <c r="J963" s="31"/>
      <c r="K963" s="31"/>
      <c r="L963" s="31"/>
      <c r="M963" s="31"/>
    </row>
    <row r="964" spans="8:13" ht="15.75" customHeight="1" x14ac:dyDescent="0.3">
      <c r="H964" s="31"/>
      <c r="I964" s="31"/>
      <c r="J964" s="31"/>
      <c r="K964" s="31"/>
      <c r="L964" s="31"/>
      <c r="M964" s="31"/>
    </row>
    <row r="965" spans="8:13" ht="15.75" customHeight="1" x14ac:dyDescent="0.3">
      <c r="H965" s="31"/>
      <c r="I965" s="31"/>
      <c r="J965" s="31"/>
      <c r="K965" s="31"/>
      <c r="L965" s="31"/>
      <c r="M965" s="31"/>
    </row>
    <row r="966" spans="8:13" ht="15.75" customHeight="1" x14ac:dyDescent="0.3">
      <c r="H966" s="31"/>
      <c r="I966" s="31"/>
      <c r="J966" s="31"/>
      <c r="K966" s="31"/>
      <c r="L966" s="31"/>
      <c r="M966" s="31"/>
    </row>
    <row r="967" spans="8:13" ht="15.75" customHeight="1" x14ac:dyDescent="0.3">
      <c r="H967" s="31"/>
      <c r="I967" s="31"/>
      <c r="J967" s="31"/>
      <c r="K967" s="31"/>
      <c r="L967" s="31"/>
      <c r="M967" s="31"/>
    </row>
    <row r="968" spans="8:13" ht="15.75" customHeight="1" x14ac:dyDescent="0.3">
      <c r="H968" s="31"/>
      <c r="I968" s="31"/>
      <c r="J968" s="31"/>
      <c r="K968" s="31"/>
      <c r="L968" s="31"/>
      <c r="M968" s="31"/>
    </row>
    <row r="969" spans="8:13" ht="15.75" customHeight="1" x14ac:dyDescent="0.3">
      <c r="H969" s="31"/>
      <c r="I969" s="31"/>
      <c r="J969" s="31"/>
      <c r="K969" s="31"/>
      <c r="L969" s="31"/>
      <c r="M969" s="31"/>
    </row>
    <row r="970" spans="8:13" ht="15.75" customHeight="1" x14ac:dyDescent="0.3">
      <c r="H970" s="31"/>
      <c r="I970" s="31"/>
      <c r="J970" s="31"/>
      <c r="K970" s="31"/>
      <c r="L970" s="31"/>
      <c r="M970" s="31"/>
    </row>
    <row r="971" spans="8:13" ht="15.75" customHeight="1" x14ac:dyDescent="0.3">
      <c r="H971" s="31"/>
      <c r="I971" s="31"/>
      <c r="J971" s="31"/>
      <c r="K971" s="31"/>
      <c r="L971" s="31"/>
      <c r="M971" s="31"/>
    </row>
    <row r="972" spans="8:13" ht="15.75" customHeight="1" x14ac:dyDescent="0.3">
      <c r="H972" s="31"/>
      <c r="I972" s="31"/>
      <c r="J972" s="31"/>
      <c r="K972" s="31"/>
      <c r="L972" s="31"/>
      <c r="M972" s="31"/>
    </row>
    <row r="973" spans="8:13" ht="15.75" customHeight="1" x14ac:dyDescent="0.3">
      <c r="H973" s="31"/>
      <c r="I973" s="31"/>
      <c r="J973" s="31"/>
      <c r="K973" s="31"/>
      <c r="L973" s="31"/>
      <c r="M973" s="31"/>
    </row>
    <row r="974" spans="8:13" ht="15.75" customHeight="1" x14ac:dyDescent="0.3">
      <c r="H974" s="31"/>
      <c r="I974" s="31"/>
      <c r="J974" s="31"/>
      <c r="K974" s="31"/>
      <c r="L974" s="31"/>
      <c r="M974" s="31"/>
    </row>
    <row r="975" spans="8:13" ht="15.75" customHeight="1" x14ac:dyDescent="0.3">
      <c r="H975" s="31"/>
      <c r="I975" s="31"/>
      <c r="J975" s="31"/>
      <c r="K975" s="31"/>
      <c r="L975" s="31"/>
      <c r="M975" s="31"/>
    </row>
    <row r="976" spans="8:13" ht="15.75" customHeight="1" x14ac:dyDescent="0.3">
      <c r="H976" s="31"/>
      <c r="I976" s="31"/>
      <c r="J976" s="31"/>
      <c r="K976" s="31"/>
      <c r="L976" s="31"/>
      <c r="M976" s="31"/>
    </row>
    <row r="977" spans="8:13" ht="15.75" customHeight="1" x14ac:dyDescent="0.3">
      <c r="H977" s="31"/>
      <c r="I977" s="31"/>
      <c r="J977" s="31"/>
      <c r="K977" s="31"/>
      <c r="L977" s="31"/>
      <c r="M977" s="31"/>
    </row>
    <row r="978" spans="8:13" ht="15.75" customHeight="1" x14ac:dyDescent="0.3">
      <c r="H978" s="31"/>
      <c r="I978" s="31"/>
      <c r="J978" s="31"/>
      <c r="K978" s="31"/>
      <c r="L978" s="31"/>
      <c r="M978" s="31"/>
    </row>
    <row r="979" spans="8:13" ht="15.75" customHeight="1" x14ac:dyDescent="0.3">
      <c r="H979" s="31"/>
      <c r="I979" s="31"/>
      <c r="J979" s="31"/>
      <c r="K979" s="31"/>
      <c r="L979" s="31"/>
      <c r="M979" s="31"/>
    </row>
    <row r="980" spans="8:13" ht="15.75" customHeight="1" x14ac:dyDescent="0.3">
      <c r="H980" s="31"/>
      <c r="I980" s="31"/>
      <c r="J980" s="31"/>
      <c r="K980" s="31"/>
      <c r="L980" s="31"/>
      <c r="M980" s="31"/>
    </row>
    <row r="981" spans="8:13" ht="15.75" customHeight="1" x14ac:dyDescent="0.3">
      <c r="H981" s="31"/>
      <c r="I981" s="31"/>
      <c r="J981" s="31"/>
      <c r="K981" s="31"/>
      <c r="L981" s="31"/>
      <c r="M981" s="31"/>
    </row>
    <row r="982" spans="8:13" ht="15.75" customHeight="1" x14ac:dyDescent="0.3">
      <c r="H982" s="31"/>
      <c r="I982" s="31"/>
      <c r="J982" s="31"/>
      <c r="K982" s="31"/>
      <c r="L982" s="31"/>
      <c r="M982" s="31"/>
    </row>
    <row r="983" spans="8:13" ht="15.75" customHeight="1" x14ac:dyDescent="0.3">
      <c r="H983" s="31"/>
      <c r="I983" s="31"/>
      <c r="J983" s="31"/>
      <c r="K983" s="31"/>
      <c r="L983" s="31"/>
      <c r="M983" s="31"/>
    </row>
    <row r="984" spans="8:13" ht="15.75" customHeight="1" x14ac:dyDescent="0.3">
      <c r="H984" s="31"/>
      <c r="I984" s="31"/>
      <c r="J984" s="31"/>
      <c r="K984" s="31"/>
      <c r="L984" s="31"/>
      <c r="M984" s="31"/>
    </row>
    <row r="985" spans="8:13" ht="15.75" customHeight="1" x14ac:dyDescent="0.3">
      <c r="H985" s="31"/>
      <c r="I985" s="31"/>
      <c r="J985" s="31"/>
      <c r="K985" s="31"/>
      <c r="L985" s="31"/>
      <c r="M985" s="31"/>
    </row>
    <row r="986" spans="8:13" ht="15.75" customHeight="1" x14ac:dyDescent="0.3">
      <c r="H986" s="31"/>
      <c r="I986" s="31"/>
      <c r="J986" s="31"/>
      <c r="K986" s="31"/>
      <c r="L986" s="31"/>
      <c r="M986" s="31"/>
    </row>
    <row r="987" spans="8:13" ht="15.75" customHeight="1" x14ac:dyDescent="0.3">
      <c r="H987" s="31"/>
      <c r="I987" s="31"/>
      <c r="J987" s="31"/>
      <c r="K987" s="31"/>
      <c r="L987" s="31"/>
      <c r="M987" s="31"/>
    </row>
    <row r="988" spans="8:13" ht="15.75" customHeight="1" x14ac:dyDescent="0.3">
      <c r="H988" s="31"/>
      <c r="I988" s="31"/>
      <c r="J988" s="31"/>
      <c r="K988" s="31"/>
      <c r="L988" s="31"/>
      <c r="M988" s="31"/>
    </row>
    <row r="989" spans="8:13" ht="15.75" customHeight="1" x14ac:dyDescent="0.3">
      <c r="H989" s="31"/>
      <c r="I989" s="31"/>
      <c r="J989" s="31"/>
      <c r="K989" s="31"/>
      <c r="L989" s="31"/>
      <c r="M989" s="31"/>
    </row>
    <row r="990" spans="8:13" ht="15.75" customHeight="1" x14ac:dyDescent="0.3">
      <c r="H990" s="31"/>
      <c r="I990" s="31"/>
      <c r="J990" s="31"/>
      <c r="K990" s="31"/>
      <c r="L990" s="31"/>
      <c r="M990" s="31"/>
    </row>
    <row r="991" spans="8:13" ht="15.75" customHeight="1" x14ac:dyDescent="0.3">
      <c r="H991" s="31"/>
      <c r="I991" s="31"/>
      <c r="J991" s="31"/>
      <c r="K991" s="31"/>
      <c r="L991" s="31"/>
      <c r="M991" s="31"/>
    </row>
    <row r="992" spans="8:13" ht="15.75" customHeight="1" x14ac:dyDescent="0.3">
      <c r="H992" s="31"/>
      <c r="I992" s="31"/>
      <c r="J992" s="31"/>
      <c r="K992" s="31"/>
      <c r="L992" s="31"/>
      <c r="M992" s="31"/>
    </row>
    <row r="993" spans="8:13" ht="15.75" customHeight="1" x14ac:dyDescent="0.3">
      <c r="H993" s="31"/>
      <c r="I993" s="31"/>
      <c r="J993" s="31"/>
      <c r="K993" s="31"/>
      <c r="L993" s="31"/>
      <c r="M993" s="31"/>
    </row>
    <row r="994" spans="8:13" ht="15.75" customHeight="1" x14ac:dyDescent="0.3">
      <c r="H994" s="31"/>
      <c r="I994" s="31"/>
      <c r="J994" s="31"/>
      <c r="K994" s="31"/>
      <c r="L994" s="31"/>
      <c r="M994" s="31"/>
    </row>
    <row r="995" spans="8:13" ht="15.75" customHeight="1" x14ac:dyDescent="0.3">
      <c r="H995" s="31"/>
      <c r="I995" s="31"/>
      <c r="J995" s="31"/>
      <c r="K995" s="31"/>
      <c r="L995" s="31"/>
      <c r="M995" s="31"/>
    </row>
    <row r="996" spans="8:13" ht="15.75" customHeight="1" x14ac:dyDescent="0.3">
      <c r="H996" s="31"/>
      <c r="I996" s="31"/>
      <c r="J996" s="31"/>
      <c r="K996" s="31"/>
      <c r="L996" s="31"/>
      <c r="M996" s="31"/>
    </row>
    <row r="997" spans="8:13" ht="15.75" customHeight="1" x14ac:dyDescent="0.3">
      <c r="H997" s="31"/>
      <c r="I997" s="31"/>
      <c r="J997" s="31"/>
      <c r="K997" s="31"/>
      <c r="L997" s="31"/>
      <c r="M997" s="31"/>
    </row>
    <row r="998" spans="8:13" ht="15.75" customHeight="1" x14ac:dyDescent="0.3">
      <c r="H998" s="31"/>
      <c r="I998" s="31"/>
      <c r="J998" s="31"/>
      <c r="K998" s="31"/>
      <c r="L998" s="31"/>
      <c r="M998" s="31"/>
    </row>
    <row r="999" spans="8:13" ht="15.75" customHeight="1" x14ac:dyDescent="0.3">
      <c r="H999" s="31"/>
      <c r="I999" s="31"/>
      <c r="J999" s="31"/>
      <c r="K999" s="31"/>
      <c r="L999" s="31"/>
      <c r="M999" s="31"/>
    </row>
    <row r="1000" spans="8:13" ht="15.75" customHeight="1" x14ac:dyDescent="0.3">
      <c r="H1000" s="31"/>
      <c r="I1000" s="31"/>
      <c r="J1000" s="31"/>
      <c r="K1000" s="31"/>
      <c r="L1000" s="31"/>
      <c r="M1000" s="31"/>
    </row>
  </sheetData>
  <mergeCells count="3">
    <mergeCell ref="D1:F1"/>
    <mergeCell ref="K1:L1"/>
    <mergeCell ref="H1:I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showGridLines="0" workbookViewId="0">
      <selection activeCell="A5" sqref="A5:A11"/>
    </sheetView>
  </sheetViews>
  <sheetFormatPr defaultColWidth="14.44140625" defaultRowHeight="15" customHeight="1" x14ac:dyDescent="0.3"/>
  <cols>
    <col min="1" max="1" width="32" customWidth="1"/>
    <col min="2" max="2" width="12" customWidth="1"/>
    <col min="3" max="3" width="16" customWidth="1"/>
    <col min="4" max="4" width="14" customWidth="1"/>
    <col min="5" max="5" width="12" customWidth="1"/>
    <col min="6" max="6" width="16" customWidth="1"/>
    <col min="7" max="7" width="14" customWidth="1"/>
    <col min="8" max="8" width="12" customWidth="1"/>
    <col min="9" max="9" width="16" customWidth="1"/>
    <col min="10" max="10" width="14" customWidth="1"/>
    <col min="11" max="13" width="16" customWidth="1"/>
    <col min="14" max="26" width="8.6640625" customWidth="1"/>
  </cols>
  <sheetData>
    <row r="1" spans="1:13" ht="18" customHeight="1" x14ac:dyDescent="0.3">
      <c r="A1" s="185" t="s">
        <v>378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</row>
    <row r="2" spans="1:13" ht="18" customHeight="1" x14ac:dyDescent="0.3"/>
    <row r="3" spans="1:13" ht="18" customHeight="1" x14ac:dyDescent="0.3">
      <c r="A3" s="183" t="s">
        <v>379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</row>
    <row r="4" spans="1:13" ht="18" customHeight="1" x14ac:dyDescent="0.3">
      <c r="A4" s="104" t="s">
        <v>380</v>
      </c>
      <c r="B4" s="104" t="s">
        <v>381</v>
      </c>
      <c r="C4" s="104" t="s">
        <v>382</v>
      </c>
      <c r="D4" s="104" t="s">
        <v>383</v>
      </c>
      <c r="E4" s="104" t="s">
        <v>384</v>
      </c>
      <c r="F4" s="104" t="s">
        <v>385</v>
      </c>
      <c r="G4" s="104" t="s">
        <v>386</v>
      </c>
      <c r="H4" s="104" t="s">
        <v>387</v>
      </c>
      <c r="I4" s="104" t="s">
        <v>388</v>
      </c>
      <c r="J4" s="104" t="s">
        <v>389</v>
      </c>
      <c r="K4" s="104" t="s">
        <v>390</v>
      </c>
      <c r="L4" s="104" t="s">
        <v>391</v>
      </c>
      <c r="M4" s="104" t="s">
        <v>392</v>
      </c>
    </row>
    <row r="5" spans="1:13" ht="18" customHeight="1" x14ac:dyDescent="0.3">
      <c r="A5" s="105" t="s">
        <v>393</v>
      </c>
      <c r="B5" s="106" t="s">
        <v>394</v>
      </c>
      <c r="C5" s="106">
        <v>71</v>
      </c>
      <c r="D5" s="106">
        <v>3.169</v>
      </c>
      <c r="E5" s="106">
        <v>1.341</v>
      </c>
      <c r="F5" s="106">
        <v>3</v>
      </c>
      <c r="G5" s="106">
        <v>44</v>
      </c>
      <c r="H5" s="106">
        <v>2.9319999999999999</v>
      </c>
      <c r="I5" s="106">
        <v>1.3009999999999999</v>
      </c>
      <c r="J5" s="106">
        <v>3</v>
      </c>
      <c r="K5" s="106">
        <v>0.93899999999999995</v>
      </c>
      <c r="L5" s="106">
        <v>0.35020000000000001</v>
      </c>
      <c r="M5" s="106"/>
    </row>
    <row r="6" spans="1:13" ht="18" customHeight="1" x14ac:dyDescent="0.3">
      <c r="A6" s="107" t="s">
        <v>12</v>
      </c>
      <c r="B6" s="108" t="s">
        <v>395</v>
      </c>
      <c r="C6" s="108">
        <v>58</v>
      </c>
      <c r="D6" s="108">
        <v>1.2190000000000001</v>
      </c>
      <c r="E6" s="108">
        <v>0.72499999999999998</v>
      </c>
      <c r="F6" s="108">
        <v>0.97599999999999998</v>
      </c>
      <c r="G6" s="108">
        <v>36</v>
      </c>
      <c r="H6" s="108">
        <v>1.165</v>
      </c>
      <c r="I6" s="108">
        <v>0.72299999999999998</v>
      </c>
      <c r="J6" s="108">
        <v>0.90200000000000002</v>
      </c>
      <c r="K6" s="108">
        <v>0.35299999999999998</v>
      </c>
      <c r="L6" s="108">
        <v>0.72540000000000004</v>
      </c>
      <c r="M6" s="108"/>
    </row>
    <row r="7" spans="1:13" ht="18" customHeight="1" x14ac:dyDescent="0.3">
      <c r="A7" s="105" t="s">
        <v>13</v>
      </c>
      <c r="B7" s="106" t="s">
        <v>396</v>
      </c>
      <c r="C7" s="106">
        <v>67</v>
      </c>
      <c r="D7" s="106">
        <v>1.0069999999999999</v>
      </c>
      <c r="E7" s="106">
        <v>0.49299999999999999</v>
      </c>
      <c r="F7" s="106">
        <v>0.98</v>
      </c>
      <c r="G7" s="106">
        <v>44</v>
      </c>
      <c r="H7" s="106">
        <v>0.93899999999999995</v>
      </c>
      <c r="I7" s="106">
        <v>0.38300000000000001</v>
      </c>
      <c r="J7" s="106">
        <v>0.86</v>
      </c>
      <c r="K7" s="106">
        <v>0.82099999999999995</v>
      </c>
      <c r="L7" s="106">
        <v>0.4133</v>
      </c>
      <c r="M7" s="106"/>
    </row>
    <row r="8" spans="1:13" ht="18" customHeight="1" x14ac:dyDescent="0.3">
      <c r="A8" s="107" t="s">
        <v>397</v>
      </c>
      <c r="B8" s="108" t="s">
        <v>398</v>
      </c>
      <c r="C8" s="108">
        <v>70</v>
      </c>
      <c r="D8" s="108">
        <v>12.814</v>
      </c>
      <c r="E8" s="108">
        <v>5.2770000000000001</v>
      </c>
      <c r="F8" s="108">
        <v>11.82</v>
      </c>
      <c r="G8" s="108">
        <v>44</v>
      </c>
      <c r="H8" s="108">
        <v>15.387</v>
      </c>
      <c r="I8" s="108">
        <v>8.4480000000000004</v>
      </c>
      <c r="J8" s="108">
        <v>14.675000000000001</v>
      </c>
      <c r="K8" s="108">
        <v>-1.8109999999999999</v>
      </c>
      <c r="L8" s="108">
        <v>7.4899999999999994E-2</v>
      </c>
      <c r="M8" s="108"/>
    </row>
    <row r="9" spans="1:13" ht="18" customHeight="1" x14ac:dyDescent="0.3">
      <c r="A9" s="105" t="s">
        <v>399</v>
      </c>
      <c r="B9" s="106" t="s">
        <v>400</v>
      </c>
      <c r="C9" s="106">
        <v>67</v>
      </c>
      <c r="D9" s="106">
        <v>14.055</v>
      </c>
      <c r="E9" s="106">
        <v>5.8860000000000001</v>
      </c>
      <c r="F9" s="106">
        <v>13.6</v>
      </c>
      <c r="G9" s="106">
        <v>44</v>
      </c>
      <c r="H9" s="106">
        <v>12.916</v>
      </c>
      <c r="I9" s="106">
        <v>4.6669999999999998</v>
      </c>
      <c r="J9" s="106">
        <v>13.55</v>
      </c>
      <c r="K9" s="106">
        <v>1.133</v>
      </c>
      <c r="L9" s="106">
        <v>0.26</v>
      </c>
      <c r="M9" s="106"/>
    </row>
    <row r="10" spans="1:13" ht="18" customHeight="1" x14ac:dyDescent="0.3">
      <c r="A10" s="107" t="s">
        <v>401</v>
      </c>
      <c r="B10" s="108" t="s">
        <v>400</v>
      </c>
      <c r="C10" s="108">
        <v>71</v>
      </c>
      <c r="D10" s="108">
        <v>12.417</v>
      </c>
      <c r="E10" s="108">
        <v>6.2930000000000001</v>
      </c>
      <c r="F10" s="108">
        <v>13</v>
      </c>
      <c r="G10" s="108">
        <v>44</v>
      </c>
      <c r="H10" s="108">
        <v>17.565999999999999</v>
      </c>
      <c r="I10" s="108">
        <v>8.327</v>
      </c>
      <c r="J10" s="108">
        <v>15.35</v>
      </c>
      <c r="K10" s="108">
        <v>-3.5249999999999999</v>
      </c>
      <c r="L10" s="109">
        <v>6.9999999999999999E-4</v>
      </c>
      <c r="M10" s="110" t="s">
        <v>402</v>
      </c>
    </row>
    <row r="11" spans="1:13" ht="18" customHeight="1" x14ac:dyDescent="0.3">
      <c r="A11" s="105" t="s">
        <v>17</v>
      </c>
      <c r="B11" s="106" t="s">
        <v>403</v>
      </c>
      <c r="C11" s="106">
        <v>67</v>
      </c>
      <c r="D11" s="106">
        <v>10.343</v>
      </c>
      <c r="E11" s="106">
        <v>3.956</v>
      </c>
      <c r="F11" s="106">
        <v>9.5</v>
      </c>
      <c r="G11" s="106">
        <v>44</v>
      </c>
      <c r="H11" s="106">
        <v>11.409000000000001</v>
      </c>
      <c r="I11" s="106">
        <v>3.4750000000000001</v>
      </c>
      <c r="J11" s="106">
        <v>11</v>
      </c>
      <c r="K11" s="106">
        <v>-1.4950000000000001</v>
      </c>
      <c r="L11" s="106">
        <v>0.13800000000000001</v>
      </c>
      <c r="M11" s="106"/>
    </row>
    <row r="12" spans="1:13" ht="18" customHeight="1" x14ac:dyDescent="0.3"/>
    <row r="13" spans="1:13" ht="18" customHeight="1" x14ac:dyDescent="0.3"/>
    <row r="14" spans="1:13" ht="18" customHeight="1" x14ac:dyDescent="0.3">
      <c r="A14" s="184" t="s">
        <v>404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</row>
    <row r="15" spans="1:13" ht="18" customHeight="1" x14ac:dyDescent="0.3">
      <c r="A15" s="111" t="s">
        <v>380</v>
      </c>
      <c r="B15" s="111" t="s">
        <v>381</v>
      </c>
      <c r="C15" s="111" t="s">
        <v>382</v>
      </c>
      <c r="D15" s="111" t="s">
        <v>383</v>
      </c>
      <c r="E15" s="111" t="s">
        <v>384</v>
      </c>
      <c r="F15" s="111" t="s">
        <v>385</v>
      </c>
      <c r="G15" s="111" t="s">
        <v>386</v>
      </c>
      <c r="H15" s="111" t="s">
        <v>387</v>
      </c>
      <c r="I15" s="111" t="s">
        <v>388</v>
      </c>
      <c r="J15" s="111" t="s">
        <v>389</v>
      </c>
      <c r="K15" s="111" t="s">
        <v>390</v>
      </c>
      <c r="L15" s="111" t="s">
        <v>391</v>
      </c>
      <c r="M15" s="111" t="s">
        <v>392</v>
      </c>
    </row>
    <row r="16" spans="1:13" ht="18" customHeight="1" x14ac:dyDescent="0.3">
      <c r="A16" s="105" t="s">
        <v>393</v>
      </c>
      <c r="B16" s="106" t="s">
        <v>394</v>
      </c>
      <c r="C16" s="106">
        <v>107</v>
      </c>
      <c r="D16" s="106">
        <v>3.121</v>
      </c>
      <c r="E16" s="106">
        <v>1.294</v>
      </c>
      <c r="F16" s="106">
        <v>3</v>
      </c>
      <c r="G16" s="106">
        <v>79</v>
      </c>
      <c r="H16" s="106">
        <v>3.0760000000000001</v>
      </c>
      <c r="I16" s="106">
        <v>1.1850000000000001</v>
      </c>
      <c r="J16" s="106">
        <v>3</v>
      </c>
      <c r="K16" s="106">
        <v>0.249</v>
      </c>
      <c r="L16" s="106">
        <v>0.80349999999999999</v>
      </c>
      <c r="M16" s="106"/>
    </row>
    <row r="17" spans="1:13" ht="18" customHeight="1" x14ac:dyDescent="0.3">
      <c r="A17" s="107" t="s">
        <v>12</v>
      </c>
      <c r="B17" s="108" t="s">
        <v>395</v>
      </c>
      <c r="C17" s="108">
        <v>94</v>
      </c>
      <c r="D17" s="108">
        <v>1.2050000000000001</v>
      </c>
      <c r="E17" s="108">
        <v>0.59899999999999998</v>
      </c>
      <c r="F17" s="108">
        <v>1.018</v>
      </c>
      <c r="G17" s="108">
        <v>71</v>
      </c>
      <c r="H17" s="108">
        <v>1.196</v>
      </c>
      <c r="I17" s="108">
        <v>0.52</v>
      </c>
      <c r="J17" s="108">
        <v>1.1259999999999999</v>
      </c>
      <c r="K17" s="108">
        <v>0.106</v>
      </c>
      <c r="L17" s="108">
        <v>0.91559999999999997</v>
      </c>
      <c r="M17" s="108"/>
    </row>
    <row r="18" spans="1:13" ht="18" customHeight="1" x14ac:dyDescent="0.3">
      <c r="A18" s="105" t="s">
        <v>13</v>
      </c>
      <c r="B18" s="106" t="s">
        <v>396</v>
      </c>
      <c r="C18" s="106">
        <v>103</v>
      </c>
      <c r="D18" s="106">
        <v>1.056</v>
      </c>
      <c r="E18" s="106">
        <v>0.628</v>
      </c>
      <c r="F18" s="106">
        <v>0.98</v>
      </c>
      <c r="G18" s="106">
        <v>79</v>
      </c>
      <c r="H18" s="106">
        <v>0.98499999999999999</v>
      </c>
      <c r="I18" s="106">
        <v>0.53400000000000003</v>
      </c>
      <c r="J18" s="106">
        <v>0.86</v>
      </c>
      <c r="K18" s="106">
        <v>0.82299999999999995</v>
      </c>
      <c r="L18" s="106">
        <v>0.41160000000000002</v>
      </c>
      <c r="M18" s="106"/>
    </row>
    <row r="19" spans="1:13" ht="18" customHeight="1" x14ac:dyDescent="0.3">
      <c r="A19" s="107" t="s">
        <v>397</v>
      </c>
      <c r="B19" s="108" t="s">
        <v>398</v>
      </c>
      <c r="C19" s="108">
        <v>107</v>
      </c>
      <c r="D19" s="108">
        <v>4.7549999999999999</v>
      </c>
      <c r="E19" s="108">
        <v>1.47</v>
      </c>
      <c r="F19" s="108">
        <v>4.7</v>
      </c>
      <c r="G19" s="108">
        <v>79</v>
      </c>
      <c r="H19" s="108">
        <v>4.5599999999999996</v>
      </c>
      <c r="I19" s="108">
        <v>1.3640000000000001</v>
      </c>
      <c r="J19" s="108">
        <v>4.32</v>
      </c>
      <c r="K19" s="108">
        <v>0.92900000000000005</v>
      </c>
      <c r="L19" s="108">
        <v>0.35410000000000003</v>
      </c>
      <c r="M19" s="108"/>
    </row>
    <row r="20" spans="1:13" ht="18" customHeight="1" x14ac:dyDescent="0.3">
      <c r="A20" s="105" t="s">
        <v>399</v>
      </c>
      <c r="B20" s="106" t="s">
        <v>400</v>
      </c>
      <c r="C20" s="106">
        <v>103</v>
      </c>
      <c r="D20" s="106">
        <v>19.088999999999999</v>
      </c>
      <c r="E20" s="106">
        <v>5.8209999999999997</v>
      </c>
      <c r="F20" s="106">
        <v>19.2</v>
      </c>
      <c r="G20" s="106">
        <v>79</v>
      </c>
      <c r="H20" s="106">
        <v>19.841000000000001</v>
      </c>
      <c r="I20" s="106">
        <v>5.5</v>
      </c>
      <c r="J20" s="106">
        <v>19.2</v>
      </c>
      <c r="K20" s="106">
        <v>-0.89</v>
      </c>
      <c r="L20" s="106">
        <v>0.37459999999999999</v>
      </c>
      <c r="M20" s="106"/>
    </row>
    <row r="21" spans="1:13" ht="18" customHeight="1" x14ac:dyDescent="0.3">
      <c r="A21" s="107" t="s">
        <v>401</v>
      </c>
      <c r="B21" s="108" t="s">
        <v>400</v>
      </c>
      <c r="C21" s="108">
        <v>103</v>
      </c>
      <c r="D21" s="108">
        <v>32.526000000000003</v>
      </c>
      <c r="E21" s="108">
        <v>4.9130000000000003</v>
      </c>
      <c r="F21" s="108">
        <v>32.799999999999997</v>
      </c>
      <c r="G21" s="108">
        <v>79</v>
      </c>
      <c r="H21" s="108">
        <v>33.465000000000003</v>
      </c>
      <c r="I21" s="108">
        <v>5.4950000000000001</v>
      </c>
      <c r="J21" s="108">
        <v>32.799999999999997</v>
      </c>
      <c r="K21" s="108">
        <v>-1.1950000000000001</v>
      </c>
      <c r="L21" s="108">
        <v>0.2339</v>
      </c>
      <c r="M21" s="108"/>
    </row>
    <row r="22" spans="1:13" ht="18" customHeight="1" x14ac:dyDescent="0.3">
      <c r="A22" s="105" t="s">
        <v>17</v>
      </c>
      <c r="B22" s="106" t="s">
        <v>403</v>
      </c>
      <c r="C22" s="106">
        <v>103</v>
      </c>
      <c r="D22" s="106">
        <v>4.617</v>
      </c>
      <c r="E22" s="106">
        <v>1.3180000000000001</v>
      </c>
      <c r="F22" s="106">
        <v>4</v>
      </c>
      <c r="G22" s="106">
        <v>79</v>
      </c>
      <c r="H22" s="106">
        <v>5.3040000000000003</v>
      </c>
      <c r="I22" s="106">
        <v>2.4729999999999999</v>
      </c>
      <c r="J22" s="106">
        <v>5</v>
      </c>
      <c r="K22" s="106">
        <v>-2.238</v>
      </c>
      <c r="L22" s="112">
        <v>2.7199999999999998E-2</v>
      </c>
      <c r="M22" s="113" t="s">
        <v>405</v>
      </c>
    </row>
    <row r="23" spans="1:13" ht="18" customHeight="1" x14ac:dyDescent="0.3"/>
    <row r="24" spans="1:13" ht="18" customHeight="1" x14ac:dyDescent="0.3"/>
    <row r="25" spans="1:13" ht="18" customHeight="1" x14ac:dyDescent="0.3">
      <c r="A25" s="181" t="s">
        <v>406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</row>
    <row r="26" spans="1:13" ht="18" customHeight="1" x14ac:dyDescent="0.3">
      <c r="A26" s="114" t="s">
        <v>380</v>
      </c>
      <c r="B26" s="114" t="s">
        <v>381</v>
      </c>
      <c r="C26" s="114" t="s">
        <v>382</v>
      </c>
      <c r="D26" s="114" t="s">
        <v>383</v>
      </c>
      <c r="E26" s="114" t="s">
        <v>384</v>
      </c>
      <c r="F26" s="114" t="s">
        <v>385</v>
      </c>
      <c r="G26" s="114" t="s">
        <v>386</v>
      </c>
      <c r="H26" s="114" t="s">
        <v>387</v>
      </c>
      <c r="I26" s="114" t="s">
        <v>388</v>
      </c>
      <c r="J26" s="114" t="s">
        <v>389</v>
      </c>
      <c r="K26" s="114" t="s">
        <v>390</v>
      </c>
      <c r="L26" s="114" t="s">
        <v>391</v>
      </c>
      <c r="M26" s="114" t="s">
        <v>392</v>
      </c>
    </row>
    <row r="27" spans="1:13" ht="18" customHeight="1" x14ac:dyDescent="0.3">
      <c r="A27" s="105" t="s">
        <v>393</v>
      </c>
      <c r="B27" s="106" t="s">
        <v>394</v>
      </c>
      <c r="C27" s="106">
        <v>70</v>
      </c>
      <c r="D27" s="106">
        <v>3.286</v>
      </c>
      <c r="E27" s="106">
        <v>1.131</v>
      </c>
      <c r="F27" s="106">
        <v>3</v>
      </c>
      <c r="G27" s="106">
        <v>39</v>
      </c>
      <c r="H27" s="106">
        <v>3</v>
      </c>
      <c r="I27" s="106">
        <v>1.1919999999999999</v>
      </c>
      <c r="J27" s="106">
        <v>3</v>
      </c>
      <c r="K27" s="106">
        <v>1.2210000000000001</v>
      </c>
      <c r="L27" s="106">
        <v>0.22570000000000001</v>
      </c>
      <c r="M27" s="106"/>
    </row>
    <row r="28" spans="1:13" ht="18" customHeight="1" x14ac:dyDescent="0.3">
      <c r="A28" s="107" t="s">
        <v>12</v>
      </c>
      <c r="B28" s="108" t="s">
        <v>395</v>
      </c>
      <c r="C28" s="108">
        <v>69</v>
      </c>
      <c r="D28" s="108">
        <v>1.4319999999999999</v>
      </c>
      <c r="E28" s="108">
        <v>0.66900000000000004</v>
      </c>
      <c r="F28" s="108">
        <v>1.26</v>
      </c>
      <c r="G28" s="108">
        <v>39</v>
      </c>
      <c r="H28" s="108">
        <v>1.008</v>
      </c>
      <c r="I28" s="108">
        <v>0.45300000000000001</v>
      </c>
      <c r="J28" s="108">
        <v>0.89</v>
      </c>
      <c r="K28" s="108">
        <v>3.9220000000000002</v>
      </c>
      <c r="L28" s="109">
        <v>2.0000000000000001E-4</v>
      </c>
      <c r="M28" s="110" t="s">
        <v>402</v>
      </c>
    </row>
    <row r="29" spans="1:13" ht="18" customHeight="1" x14ac:dyDescent="0.3">
      <c r="A29" s="105" t="s">
        <v>13</v>
      </c>
      <c r="B29" s="106" t="s">
        <v>396</v>
      </c>
      <c r="C29" s="106">
        <v>69</v>
      </c>
      <c r="D29" s="106">
        <v>1.214</v>
      </c>
      <c r="E29" s="106">
        <v>0.73399999999999999</v>
      </c>
      <c r="F29" s="106">
        <v>1.04</v>
      </c>
      <c r="G29" s="106">
        <v>38</v>
      </c>
      <c r="H29" s="106">
        <v>0.90200000000000002</v>
      </c>
      <c r="I29" s="106">
        <v>0.54800000000000004</v>
      </c>
      <c r="J29" s="106">
        <v>0.73</v>
      </c>
      <c r="K29" s="106">
        <v>2.488</v>
      </c>
      <c r="L29" s="112">
        <v>1.46E-2</v>
      </c>
      <c r="M29" s="113" t="s">
        <v>405</v>
      </c>
    </row>
    <row r="30" spans="1:13" ht="18" customHeight="1" x14ac:dyDescent="0.3">
      <c r="A30" s="107" t="s">
        <v>397</v>
      </c>
      <c r="B30" s="108" t="s">
        <v>398</v>
      </c>
      <c r="C30" s="108">
        <v>69</v>
      </c>
      <c r="D30" s="108">
        <v>9.2059999999999995</v>
      </c>
      <c r="E30" s="108">
        <v>9.9079999999999995</v>
      </c>
      <c r="F30" s="108">
        <v>6.21</v>
      </c>
      <c r="G30" s="108">
        <v>39</v>
      </c>
      <c r="H30" s="108">
        <v>8.1969999999999992</v>
      </c>
      <c r="I30" s="108">
        <v>5.41</v>
      </c>
      <c r="J30" s="108">
        <v>7.85</v>
      </c>
      <c r="K30" s="108">
        <v>0.68400000000000005</v>
      </c>
      <c r="L30" s="108">
        <v>0.49559999999999998</v>
      </c>
      <c r="M30" s="108"/>
    </row>
    <row r="31" spans="1:13" ht="18" customHeight="1" x14ac:dyDescent="0.3">
      <c r="A31" s="105" t="s">
        <v>399</v>
      </c>
      <c r="B31" s="106" t="s">
        <v>400</v>
      </c>
      <c r="C31" s="106">
        <v>69</v>
      </c>
      <c r="D31" s="106">
        <v>66.242000000000004</v>
      </c>
      <c r="E31" s="106">
        <v>19.053999999999998</v>
      </c>
      <c r="F31" s="106">
        <v>67.400000000000006</v>
      </c>
      <c r="G31" s="106">
        <v>38</v>
      </c>
      <c r="H31" s="106">
        <v>76.436999999999998</v>
      </c>
      <c r="I31" s="106">
        <v>18.972999999999999</v>
      </c>
      <c r="J31" s="106">
        <v>78.25</v>
      </c>
      <c r="K31" s="106">
        <v>-2.6560000000000001</v>
      </c>
      <c r="L31" s="112">
        <v>9.5999999999999992E-3</v>
      </c>
      <c r="M31" s="113" t="s">
        <v>407</v>
      </c>
    </row>
    <row r="32" spans="1:13" ht="18" customHeight="1" x14ac:dyDescent="0.3">
      <c r="A32" s="107" t="s">
        <v>401</v>
      </c>
      <c r="B32" s="108" t="s">
        <v>400</v>
      </c>
      <c r="C32" s="108">
        <v>69</v>
      </c>
      <c r="D32" s="108">
        <v>17.417000000000002</v>
      </c>
      <c r="E32" s="108">
        <v>12.667</v>
      </c>
      <c r="F32" s="108">
        <v>15.4</v>
      </c>
      <c r="G32" s="108">
        <v>38</v>
      </c>
      <c r="H32" s="108">
        <v>22.279</v>
      </c>
      <c r="I32" s="108">
        <v>14.988</v>
      </c>
      <c r="J32" s="108">
        <v>19.100000000000001</v>
      </c>
      <c r="K32" s="108">
        <v>-1.694</v>
      </c>
      <c r="L32" s="108">
        <v>9.5000000000000001E-2</v>
      </c>
      <c r="M32" s="108"/>
    </row>
    <row r="33" spans="1:13" ht="18" customHeight="1" x14ac:dyDescent="0.3">
      <c r="A33" s="105" t="s">
        <v>17</v>
      </c>
      <c r="B33" s="106" t="s">
        <v>403</v>
      </c>
      <c r="C33" s="106">
        <v>69</v>
      </c>
      <c r="D33" s="106">
        <v>18.196000000000002</v>
      </c>
      <c r="E33" s="106">
        <v>4.3049999999999997</v>
      </c>
      <c r="F33" s="106">
        <v>18</v>
      </c>
      <c r="G33" s="106">
        <v>38</v>
      </c>
      <c r="H33" s="106">
        <v>19.065999999999999</v>
      </c>
      <c r="I33" s="106">
        <v>4.92</v>
      </c>
      <c r="J33" s="106">
        <v>18</v>
      </c>
      <c r="K33" s="106">
        <v>-0.91400000000000003</v>
      </c>
      <c r="L33" s="106">
        <v>0.36370000000000002</v>
      </c>
      <c r="M33" s="106"/>
    </row>
    <row r="34" spans="1:13" ht="15.75" customHeight="1" x14ac:dyDescent="0.3"/>
    <row r="35" spans="1:13" ht="15.75" customHeight="1" x14ac:dyDescent="0.3"/>
    <row r="36" spans="1:13" ht="15.75" customHeight="1" x14ac:dyDescent="0.3"/>
    <row r="37" spans="1:13" ht="15.75" customHeight="1" x14ac:dyDescent="0.3"/>
    <row r="38" spans="1:13" ht="15.75" customHeight="1" x14ac:dyDescent="0.3"/>
    <row r="39" spans="1:13" ht="15.75" customHeight="1" x14ac:dyDescent="0.3"/>
    <row r="40" spans="1:13" ht="15.75" customHeight="1" x14ac:dyDescent="0.3"/>
    <row r="41" spans="1:13" ht="15.75" customHeight="1" x14ac:dyDescent="0.3"/>
    <row r="42" spans="1:13" ht="15.75" customHeight="1" x14ac:dyDescent="0.3"/>
    <row r="43" spans="1:13" ht="15.75" customHeight="1" x14ac:dyDescent="0.3"/>
    <row r="44" spans="1:13" ht="15.75" customHeight="1" x14ac:dyDescent="0.3"/>
    <row r="45" spans="1:13" ht="15.75" customHeight="1" x14ac:dyDescent="0.3"/>
    <row r="46" spans="1:13" ht="15.75" customHeight="1" x14ac:dyDescent="0.3"/>
    <row r="47" spans="1:13" ht="15.75" customHeight="1" x14ac:dyDescent="0.3"/>
    <row r="48" spans="1:1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25:M25"/>
    <mergeCell ref="A3:M3"/>
    <mergeCell ref="A14:M14"/>
    <mergeCell ref="A1:M1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C458-F63E-4475-BD9C-F0BC1BCB9556}">
  <dimension ref="A1:M187"/>
  <sheetViews>
    <sheetView workbookViewId="0">
      <selection activeCell="L2" sqref="L2"/>
    </sheetView>
  </sheetViews>
  <sheetFormatPr defaultColWidth="14.44140625" defaultRowHeight="13.8" x14ac:dyDescent="0.25"/>
  <cols>
    <col min="1" max="1" width="7.6640625" style="117" bestFit="1" customWidth="1"/>
    <col min="2" max="2" width="50.6640625" style="117" bestFit="1" customWidth="1"/>
    <col min="3" max="3" width="11.88671875" style="117" bestFit="1" customWidth="1"/>
    <col min="4" max="6" width="10.33203125" style="117" bestFit="1" customWidth="1"/>
    <col min="7" max="7" width="13.5546875" style="133" bestFit="1" customWidth="1"/>
    <col min="8" max="8" width="11.44140625" style="117" bestFit="1" customWidth="1"/>
    <col min="9" max="9" width="7.88671875" style="117" bestFit="1" customWidth="1"/>
    <col min="10" max="10" width="15.109375" style="117" bestFit="1" customWidth="1"/>
    <col min="11" max="11" width="13.6640625" style="117" bestFit="1" customWidth="1"/>
    <col min="12" max="12" width="11.109375" style="117" bestFit="1" customWidth="1"/>
    <col min="13" max="13" width="12.44140625" style="117" bestFit="1" customWidth="1"/>
    <col min="14" max="16384" width="14.44140625" style="117"/>
  </cols>
  <sheetData>
    <row r="1" spans="1:13" x14ac:dyDescent="0.25">
      <c r="A1" s="129" t="s">
        <v>8</v>
      </c>
      <c r="B1" s="119" t="s">
        <v>411</v>
      </c>
      <c r="C1" s="130" t="s">
        <v>410</v>
      </c>
      <c r="D1" s="119" t="s">
        <v>419</v>
      </c>
      <c r="E1" s="119" t="s">
        <v>418</v>
      </c>
      <c r="F1" s="119" t="s">
        <v>417</v>
      </c>
      <c r="G1" s="119" t="s">
        <v>409</v>
      </c>
      <c r="H1" s="131" t="s">
        <v>408</v>
      </c>
      <c r="I1" s="116" t="s">
        <v>412</v>
      </c>
      <c r="J1" s="132" t="s">
        <v>413</v>
      </c>
      <c r="K1" s="131" t="s">
        <v>416</v>
      </c>
      <c r="L1" s="128" t="s">
        <v>414</v>
      </c>
      <c r="M1" s="132" t="s">
        <v>415</v>
      </c>
    </row>
    <row r="2" spans="1:13" x14ac:dyDescent="0.25">
      <c r="A2" s="118">
        <v>1</v>
      </c>
      <c r="B2" s="118" t="s">
        <v>42</v>
      </c>
      <c r="C2" s="119">
        <v>720</v>
      </c>
      <c r="D2" s="120">
        <v>5</v>
      </c>
      <c r="E2" s="56">
        <v>5</v>
      </c>
      <c r="F2" s="119">
        <v>5</v>
      </c>
      <c r="G2" s="123">
        <v>1</v>
      </c>
      <c r="H2" s="121">
        <v>1.444</v>
      </c>
      <c r="I2" s="121">
        <v>1.34</v>
      </c>
      <c r="J2" s="121">
        <v>2.73</v>
      </c>
      <c r="K2" s="122">
        <v>13.2</v>
      </c>
      <c r="L2" s="122">
        <v>35.6</v>
      </c>
      <c r="M2" s="122">
        <v>6</v>
      </c>
    </row>
    <row r="3" spans="1:13" x14ac:dyDescent="0.25">
      <c r="A3" s="118">
        <v>2</v>
      </c>
      <c r="B3" s="118" t="s">
        <v>178</v>
      </c>
      <c r="C3" s="119">
        <v>108</v>
      </c>
      <c r="D3" s="119">
        <v>4</v>
      </c>
      <c r="E3" s="56">
        <v>4</v>
      </c>
      <c r="F3" s="119">
        <v>5</v>
      </c>
      <c r="G3" s="123">
        <v>1</v>
      </c>
      <c r="H3" s="121">
        <v>0.98699999999999999</v>
      </c>
      <c r="I3" s="121">
        <v>0.8</v>
      </c>
      <c r="J3" s="121">
        <v>3.13</v>
      </c>
      <c r="K3" s="122">
        <v>19.2</v>
      </c>
      <c r="L3" s="122">
        <v>32.799999999999997</v>
      </c>
      <c r="M3" s="122">
        <v>5</v>
      </c>
    </row>
    <row r="4" spans="1:13" x14ac:dyDescent="0.25">
      <c r="A4" s="118">
        <v>3</v>
      </c>
      <c r="B4" s="118" t="s">
        <v>18</v>
      </c>
      <c r="C4" s="120">
        <v>362</v>
      </c>
      <c r="D4" s="120">
        <v>4</v>
      </c>
      <c r="E4" s="57">
        <v>4</v>
      </c>
      <c r="F4" s="119">
        <v>5</v>
      </c>
      <c r="G4" s="123">
        <v>1</v>
      </c>
      <c r="H4" s="121">
        <v>1.1850000000000001</v>
      </c>
      <c r="I4" s="121">
        <v>0.99</v>
      </c>
      <c r="J4" s="121">
        <v>4.93</v>
      </c>
      <c r="K4" s="122">
        <v>13.7</v>
      </c>
      <c r="L4" s="122">
        <v>32.200000000000003</v>
      </c>
      <c r="M4" s="122">
        <v>5</v>
      </c>
    </row>
    <row r="5" spans="1:13" x14ac:dyDescent="0.25">
      <c r="A5" s="118">
        <v>4</v>
      </c>
      <c r="B5" s="118" t="s">
        <v>179</v>
      </c>
      <c r="C5" s="119">
        <v>209</v>
      </c>
      <c r="D5" s="123"/>
      <c r="E5" s="15"/>
      <c r="F5" s="119">
        <v>5</v>
      </c>
      <c r="G5" s="123">
        <v>0</v>
      </c>
      <c r="H5" s="123"/>
      <c r="I5" s="121">
        <v>2.14</v>
      </c>
      <c r="J5" s="121">
        <v>4.8</v>
      </c>
      <c r="K5" s="122">
        <v>15.7</v>
      </c>
      <c r="L5" s="122">
        <v>38.799999999999997</v>
      </c>
      <c r="M5" s="122">
        <v>3</v>
      </c>
    </row>
    <row r="6" spans="1:13" x14ac:dyDescent="0.25">
      <c r="A6" s="118">
        <v>5</v>
      </c>
      <c r="B6" s="118" t="s">
        <v>180</v>
      </c>
      <c r="C6" s="119">
        <v>283</v>
      </c>
      <c r="D6" s="123"/>
      <c r="E6" s="15"/>
      <c r="F6" s="119">
        <v>5</v>
      </c>
      <c r="G6" s="123">
        <v>0</v>
      </c>
      <c r="H6" s="123"/>
      <c r="I6" s="121">
        <v>0.99</v>
      </c>
      <c r="J6" s="121">
        <v>3.19</v>
      </c>
      <c r="K6" s="122">
        <v>19.2</v>
      </c>
      <c r="L6" s="122">
        <v>32.799999999999997</v>
      </c>
      <c r="M6" s="122">
        <v>3</v>
      </c>
    </row>
    <row r="7" spans="1:13" x14ac:dyDescent="0.25">
      <c r="A7" s="118">
        <v>6</v>
      </c>
      <c r="B7" s="118" t="s">
        <v>181</v>
      </c>
      <c r="C7" s="120">
        <v>375</v>
      </c>
      <c r="D7" s="123"/>
      <c r="E7" s="15"/>
      <c r="F7" s="119">
        <v>5</v>
      </c>
      <c r="G7" s="123">
        <v>0</v>
      </c>
      <c r="H7" s="121">
        <v>1.4159999999999999</v>
      </c>
      <c r="I7" s="121">
        <v>1.8</v>
      </c>
      <c r="J7" s="121">
        <v>4</v>
      </c>
      <c r="K7" s="122">
        <v>12.2</v>
      </c>
      <c r="L7" s="122">
        <v>32.299999999999997</v>
      </c>
      <c r="M7" s="122">
        <v>6</v>
      </c>
    </row>
    <row r="8" spans="1:13" x14ac:dyDescent="0.25">
      <c r="A8" s="118">
        <v>7</v>
      </c>
      <c r="B8" s="118" t="s">
        <v>54</v>
      </c>
      <c r="C8" s="120">
        <v>369</v>
      </c>
      <c r="D8" s="120">
        <v>4</v>
      </c>
      <c r="E8" s="57">
        <v>5</v>
      </c>
      <c r="F8" s="119">
        <v>5</v>
      </c>
      <c r="G8" s="123">
        <v>1</v>
      </c>
      <c r="H8" s="121">
        <v>2.7709999999999999</v>
      </c>
      <c r="I8" s="121">
        <v>1.17</v>
      </c>
      <c r="J8" s="121">
        <v>5.04</v>
      </c>
      <c r="K8" s="122">
        <v>38</v>
      </c>
      <c r="L8" s="122">
        <v>29.6</v>
      </c>
      <c r="M8" s="122">
        <v>4</v>
      </c>
    </row>
    <row r="9" spans="1:13" x14ac:dyDescent="0.25">
      <c r="A9" s="118">
        <v>8</v>
      </c>
      <c r="B9" s="118" t="s">
        <v>109</v>
      </c>
      <c r="C9" s="119">
        <v>164</v>
      </c>
      <c r="D9" s="123"/>
      <c r="E9" s="15"/>
      <c r="F9" s="119">
        <v>5</v>
      </c>
      <c r="G9" s="123">
        <v>0</v>
      </c>
      <c r="H9" s="121">
        <v>1.7889999999999999</v>
      </c>
      <c r="I9" s="121">
        <v>0.86</v>
      </c>
      <c r="J9" s="121">
        <v>6.78</v>
      </c>
      <c r="K9" s="122">
        <v>19.2</v>
      </c>
      <c r="L9" s="122">
        <v>32.799999999999997</v>
      </c>
      <c r="M9" s="122">
        <v>6</v>
      </c>
    </row>
    <row r="10" spans="1:13" x14ac:dyDescent="0.25">
      <c r="A10" s="118">
        <v>9</v>
      </c>
      <c r="B10" s="118" t="s">
        <v>182</v>
      </c>
      <c r="C10" s="119">
        <v>206</v>
      </c>
      <c r="D10" s="120">
        <v>4</v>
      </c>
      <c r="E10" s="56">
        <v>3</v>
      </c>
      <c r="F10" s="119">
        <v>5</v>
      </c>
      <c r="G10" s="123">
        <v>1</v>
      </c>
      <c r="H10" s="121">
        <v>0.97599999999999998</v>
      </c>
      <c r="I10" s="121">
        <v>0.66</v>
      </c>
      <c r="J10" s="121">
        <v>2.69</v>
      </c>
      <c r="K10" s="122">
        <v>19.2</v>
      </c>
      <c r="L10" s="122">
        <v>32.799999999999997</v>
      </c>
      <c r="M10" s="122">
        <v>4</v>
      </c>
    </row>
    <row r="11" spans="1:13" x14ac:dyDescent="0.25">
      <c r="A11" s="118">
        <v>10</v>
      </c>
      <c r="B11" s="118" t="s">
        <v>39</v>
      </c>
      <c r="C11" s="119">
        <v>115</v>
      </c>
      <c r="D11" s="123"/>
      <c r="E11" s="15"/>
      <c r="F11" s="119">
        <v>5</v>
      </c>
      <c r="G11" s="123">
        <v>0</v>
      </c>
      <c r="H11" s="121">
        <v>0.82099999999999995</v>
      </c>
      <c r="I11" s="121">
        <v>1.23</v>
      </c>
      <c r="J11" s="121">
        <v>3.26</v>
      </c>
      <c r="K11" s="122">
        <v>19.2</v>
      </c>
      <c r="L11" s="122">
        <v>32.799999999999997</v>
      </c>
      <c r="M11" s="122">
        <v>4</v>
      </c>
    </row>
    <row r="12" spans="1:13" x14ac:dyDescent="0.25">
      <c r="A12" s="118">
        <v>11</v>
      </c>
      <c r="B12" s="118" t="s">
        <v>26</v>
      </c>
      <c r="C12" s="119">
        <v>482</v>
      </c>
      <c r="D12" s="120">
        <v>5</v>
      </c>
      <c r="E12" s="56">
        <v>5</v>
      </c>
      <c r="F12" s="119">
        <v>5</v>
      </c>
      <c r="G12" s="123">
        <v>1</v>
      </c>
      <c r="H12" s="123"/>
      <c r="I12" s="121">
        <v>2.16</v>
      </c>
      <c r="J12" s="121">
        <v>2.65</v>
      </c>
      <c r="K12" s="122">
        <v>13.1</v>
      </c>
      <c r="L12" s="122">
        <v>30.7</v>
      </c>
      <c r="M12" s="122">
        <v>4</v>
      </c>
    </row>
    <row r="13" spans="1:13" x14ac:dyDescent="0.25">
      <c r="A13" s="118">
        <v>12</v>
      </c>
      <c r="B13" s="118" t="s">
        <v>130</v>
      </c>
      <c r="C13" s="120">
        <v>215</v>
      </c>
      <c r="D13" s="123"/>
      <c r="E13" s="15"/>
      <c r="F13" s="119">
        <v>5</v>
      </c>
      <c r="G13" s="123">
        <v>0</v>
      </c>
      <c r="H13" s="121">
        <v>0.84699999999999998</v>
      </c>
      <c r="I13" s="121">
        <v>0.53</v>
      </c>
      <c r="J13" s="121">
        <v>5.75</v>
      </c>
      <c r="K13" s="122">
        <v>19.2</v>
      </c>
      <c r="L13" s="122">
        <v>32.799999999999997</v>
      </c>
      <c r="M13" s="122">
        <v>5</v>
      </c>
    </row>
    <row r="14" spans="1:13" x14ac:dyDescent="0.25">
      <c r="A14" s="118">
        <v>13</v>
      </c>
      <c r="B14" s="118" t="s">
        <v>183</v>
      </c>
      <c r="C14" s="120">
        <v>270</v>
      </c>
      <c r="D14" s="119">
        <v>3</v>
      </c>
      <c r="E14" s="57">
        <v>3</v>
      </c>
      <c r="F14" s="119">
        <v>5</v>
      </c>
      <c r="G14" s="123">
        <v>1</v>
      </c>
      <c r="H14" s="121">
        <v>0.85099999999999998</v>
      </c>
      <c r="I14" s="121">
        <v>0.81</v>
      </c>
      <c r="J14" s="121">
        <v>3.11</v>
      </c>
      <c r="K14" s="122">
        <v>25.2</v>
      </c>
      <c r="L14" s="122">
        <v>25.2</v>
      </c>
      <c r="M14" s="122">
        <v>5</v>
      </c>
    </row>
    <row r="15" spans="1:13" x14ac:dyDescent="0.25">
      <c r="A15" s="118">
        <v>14</v>
      </c>
      <c r="B15" s="118" t="s">
        <v>184</v>
      </c>
      <c r="C15" s="119">
        <v>321</v>
      </c>
      <c r="D15" s="120">
        <v>5</v>
      </c>
      <c r="E15" s="56">
        <v>5</v>
      </c>
      <c r="F15" s="119">
        <v>5</v>
      </c>
      <c r="G15" s="123">
        <v>1</v>
      </c>
      <c r="H15" s="121">
        <v>0.88500000000000001</v>
      </c>
      <c r="I15" s="121">
        <v>1.1599999999999999</v>
      </c>
      <c r="J15" s="121">
        <v>4.9400000000000004</v>
      </c>
      <c r="K15" s="122">
        <v>15.9</v>
      </c>
      <c r="L15" s="122">
        <v>29.7</v>
      </c>
      <c r="M15" s="122">
        <v>4</v>
      </c>
    </row>
    <row r="16" spans="1:13" x14ac:dyDescent="0.25">
      <c r="A16" s="118">
        <v>15</v>
      </c>
      <c r="B16" s="118" t="s">
        <v>185</v>
      </c>
      <c r="C16" s="120">
        <v>221</v>
      </c>
      <c r="D16" s="119">
        <v>4</v>
      </c>
      <c r="E16" s="57">
        <v>4</v>
      </c>
      <c r="F16" s="119">
        <v>5</v>
      </c>
      <c r="G16" s="123">
        <v>1</v>
      </c>
      <c r="H16" s="121">
        <v>0.66700000000000004</v>
      </c>
      <c r="I16" s="121">
        <v>1.26</v>
      </c>
      <c r="J16" s="121">
        <v>4.67</v>
      </c>
      <c r="K16" s="122">
        <v>19.2</v>
      </c>
      <c r="L16" s="122">
        <v>32.799999999999997</v>
      </c>
      <c r="M16" s="122">
        <v>5</v>
      </c>
    </row>
    <row r="17" spans="1:13" x14ac:dyDescent="0.25">
      <c r="A17" s="118">
        <v>16</v>
      </c>
      <c r="B17" s="118" t="s">
        <v>135</v>
      </c>
      <c r="C17" s="119">
        <v>126</v>
      </c>
      <c r="D17" s="119">
        <v>5</v>
      </c>
      <c r="E17" s="56">
        <v>5</v>
      </c>
      <c r="F17" s="119">
        <v>5</v>
      </c>
      <c r="G17" s="123">
        <v>1</v>
      </c>
      <c r="H17" s="121">
        <v>2.5659999999999998</v>
      </c>
      <c r="I17" s="121">
        <v>0.28000000000000003</v>
      </c>
      <c r="J17" s="121">
        <v>3.48</v>
      </c>
      <c r="K17" s="122">
        <v>19.2</v>
      </c>
      <c r="L17" s="122">
        <v>32.799999999999997</v>
      </c>
      <c r="M17" s="122">
        <v>4</v>
      </c>
    </row>
    <row r="18" spans="1:13" x14ac:dyDescent="0.25">
      <c r="A18" s="118">
        <v>17</v>
      </c>
      <c r="B18" s="118" t="s">
        <v>88</v>
      </c>
      <c r="C18" s="119">
        <v>300</v>
      </c>
      <c r="D18" s="120">
        <v>5</v>
      </c>
      <c r="E18" s="56">
        <v>5</v>
      </c>
      <c r="F18" s="119">
        <v>5</v>
      </c>
      <c r="G18" s="123">
        <v>1</v>
      </c>
      <c r="H18" s="121">
        <v>0.70099999999999996</v>
      </c>
      <c r="I18" s="121">
        <v>0.53</v>
      </c>
      <c r="J18" s="121">
        <v>2.35</v>
      </c>
      <c r="K18" s="122">
        <v>19.2</v>
      </c>
      <c r="L18" s="122">
        <v>32.799999999999997</v>
      </c>
      <c r="M18" s="122">
        <v>3</v>
      </c>
    </row>
    <row r="19" spans="1:13" x14ac:dyDescent="0.25">
      <c r="A19" s="118">
        <v>18</v>
      </c>
      <c r="B19" s="118" t="s">
        <v>186</v>
      </c>
      <c r="C19" s="119">
        <v>471</v>
      </c>
      <c r="D19" s="120">
        <v>4</v>
      </c>
      <c r="E19" s="56">
        <v>3</v>
      </c>
      <c r="F19" s="119">
        <v>5</v>
      </c>
      <c r="G19" s="123">
        <v>1</v>
      </c>
      <c r="H19" s="121">
        <v>0.69599999999999995</v>
      </c>
      <c r="I19" s="121">
        <v>2.12</v>
      </c>
      <c r="J19" s="121">
        <v>3.77</v>
      </c>
      <c r="K19" s="122">
        <v>17</v>
      </c>
      <c r="L19" s="122">
        <v>41.2</v>
      </c>
      <c r="M19" s="122">
        <v>3</v>
      </c>
    </row>
    <row r="20" spans="1:13" ht="15.75" customHeight="1" x14ac:dyDescent="0.25">
      <c r="A20" s="118">
        <v>19</v>
      </c>
      <c r="B20" s="118" t="s">
        <v>187</v>
      </c>
      <c r="C20" s="119">
        <v>240</v>
      </c>
      <c r="D20" s="119">
        <v>3</v>
      </c>
      <c r="E20" s="56">
        <v>3</v>
      </c>
      <c r="F20" s="119">
        <v>5</v>
      </c>
      <c r="G20" s="123">
        <v>1</v>
      </c>
      <c r="H20" s="121">
        <v>0.68400000000000005</v>
      </c>
      <c r="I20" s="121">
        <v>0.68</v>
      </c>
      <c r="J20" s="121">
        <v>4.1399999999999997</v>
      </c>
      <c r="K20" s="122">
        <v>23.9</v>
      </c>
      <c r="L20" s="122">
        <v>37.6</v>
      </c>
      <c r="M20" s="122">
        <v>5</v>
      </c>
    </row>
    <row r="21" spans="1:13" ht="15.75" customHeight="1" x14ac:dyDescent="0.25">
      <c r="A21" s="118">
        <v>20</v>
      </c>
      <c r="B21" s="118" t="s">
        <v>188</v>
      </c>
      <c r="C21" s="120">
        <v>216</v>
      </c>
      <c r="D21" s="120">
        <v>3</v>
      </c>
      <c r="E21" s="57">
        <v>3</v>
      </c>
      <c r="F21" s="119">
        <v>5</v>
      </c>
      <c r="G21" s="123">
        <v>1</v>
      </c>
      <c r="H21" s="121">
        <v>0.70899999999999996</v>
      </c>
      <c r="I21" s="121">
        <v>0.44</v>
      </c>
      <c r="J21" s="121">
        <v>6.56</v>
      </c>
      <c r="K21" s="122">
        <v>19.2</v>
      </c>
      <c r="L21" s="122">
        <v>32.799999999999997</v>
      </c>
      <c r="M21" s="122">
        <v>5</v>
      </c>
    </row>
    <row r="22" spans="1:13" ht="15.75" customHeight="1" x14ac:dyDescent="0.25">
      <c r="A22" s="118">
        <v>21</v>
      </c>
      <c r="B22" s="118" t="s">
        <v>189</v>
      </c>
      <c r="C22" s="119">
        <v>771</v>
      </c>
      <c r="D22" s="119">
        <v>4</v>
      </c>
      <c r="E22" s="56">
        <v>4</v>
      </c>
      <c r="F22" s="119">
        <v>5</v>
      </c>
      <c r="G22" s="123">
        <v>1</v>
      </c>
      <c r="H22" s="121">
        <v>1.3640000000000001</v>
      </c>
      <c r="I22" s="121">
        <v>0.98</v>
      </c>
      <c r="J22" s="121">
        <v>4.63</v>
      </c>
      <c r="K22" s="122">
        <v>50.5</v>
      </c>
      <c r="L22" s="122">
        <v>37.799999999999997</v>
      </c>
      <c r="M22" s="122">
        <v>4</v>
      </c>
    </row>
    <row r="23" spans="1:13" ht="15.75" customHeight="1" x14ac:dyDescent="0.25">
      <c r="A23" s="118">
        <v>22</v>
      </c>
      <c r="B23" s="118" t="s">
        <v>190</v>
      </c>
      <c r="C23" s="120">
        <v>102</v>
      </c>
      <c r="D23" s="119">
        <v>2</v>
      </c>
      <c r="E23" s="57">
        <v>3</v>
      </c>
      <c r="F23" s="119">
        <v>5</v>
      </c>
      <c r="G23" s="123">
        <v>1</v>
      </c>
      <c r="H23" s="121">
        <v>1.639</v>
      </c>
      <c r="I23" s="121">
        <v>1.1000000000000001</v>
      </c>
      <c r="J23" s="121">
        <v>1.45</v>
      </c>
      <c r="K23" s="122">
        <v>19.2</v>
      </c>
      <c r="L23" s="122">
        <v>32.799999999999997</v>
      </c>
      <c r="M23" s="122">
        <v>3</v>
      </c>
    </row>
    <row r="24" spans="1:13" ht="15.75" customHeight="1" x14ac:dyDescent="0.25">
      <c r="A24" s="118">
        <v>23</v>
      </c>
      <c r="B24" s="118" t="s">
        <v>191</v>
      </c>
      <c r="C24" s="120">
        <v>69</v>
      </c>
      <c r="D24" s="123"/>
      <c r="E24" s="15"/>
      <c r="F24" s="119">
        <v>5</v>
      </c>
      <c r="G24" s="123">
        <v>0</v>
      </c>
      <c r="H24" s="121">
        <v>1.2969999999999999</v>
      </c>
      <c r="I24" s="121">
        <v>0.49</v>
      </c>
      <c r="J24" s="121">
        <v>4.04</v>
      </c>
      <c r="K24" s="122">
        <v>19.2</v>
      </c>
      <c r="L24" s="122">
        <v>32.799999999999997</v>
      </c>
      <c r="M24" s="122">
        <v>5</v>
      </c>
    </row>
    <row r="25" spans="1:13" ht="15.75" customHeight="1" x14ac:dyDescent="0.25">
      <c r="A25" s="118">
        <v>24</v>
      </c>
      <c r="B25" s="118" t="s">
        <v>192</v>
      </c>
      <c r="C25" s="119">
        <v>701</v>
      </c>
      <c r="D25" s="120">
        <v>5</v>
      </c>
      <c r="E25" s="56">
        <v>5</v>
      </c>
      <c r="F25" s="119">
        <v>5</v>
      </c>
      <c r="G25" s="123">
        <v>1</v>
      </c>
      <c r="H25" s="121">
        <v>1.6639999999999999</v>
      </c>
      <c r="I25" s="121">
        <v>1.62</v>
      </c>
      <c r="J25" s="121">
        <v>7.54</v>
      </c>
      <c r="K25" s="122">
        <v>12</v>
      </c>
      <c r="L25" s="122">
        <v>35.9</v>
      </c>
      <c r="M25" s="122">
        <v>3</v>
      </c>
    </row>
    <row r="26" spans="1:13" ht="15.75" customHeight="1" x14ac:dyDescent="0.25">
      <c r="A26" s="118">
        <v>25</v>
      </c>
      <c r="B26" s="118" t="s">
        <v>193</v>
      </c>
      <c r="C26" s="119">
        <v>49</v>
      </c>
      <c r="D26" s="123"/>
      <c r="E26" s="15"/>
      <c r="F26" s="119">
        <v>5</v>
      </c>
      <c r="G26" s="123">
        <v>0</v>
      </c>
      <c r="H26" s="121">
        <v>3.2879999999999998</v>
      </c>
      <c r="I26" s="121">
        <v>0.73</v>
      </c>
      <c r="J26" s="121">
        <v>1.53</v>
      </c>
      <c r="K26" s="122">
        <v>19.2</v>
      </c>
      <c r="L26" s="122">
        <v>32.799999999999997</v>
      </c>
      <c r="M26" s="122">
        <v>3</v>
      </c>
    </row>
    <row r="27" spans="1:13" ht="15.75" customHeight="1" x14ac:dyDescent="0.25">
      <c r="A27" s="118">
        <v>26</v>
      </c>
      <c r="B27" s="118" t="s">
        <v>82</v>
      </c>
      <c r="C27" s="119">
        <v>696</v>
      </c>
      <c r="D27" s="120">
        <v>5</v>
      </c>
      <c r="E27" s="56">
        <v>5</v>
      </c>
      <c r="F27" s="119">
        <v>5</v>
      </c>
      <c r="G27" s="123">
        <v>1</v>
      </c>
      <c r="H27" s="121">
        <v>0.70299999999999996</v>
      </c>
      <c r="I27" s="121">
        <v>1.55</v>
      </c>
      <c r="J27" s="121">
        <v>3.42</v>
      </c>
      <c r="K27" s="122">
        <v>15</v>
      </c>
      <c r="L27" s="122">
        <v>32</v>
      </c>
      <c r="M27" s="122">
        <v>3</v>
      </c>
    </row>
    <row r="28" spans="1:13" ht="15.75" customHeight="1" x14ac:dyDescent="0.25">
      <c r="A28" s="118">
        <v>27</v>
      </c>
      <c r="B28" s="118" t="s">
        <v>96</v>
      </c>
      <c r="C28" s="119">
        <v>318</v>
      </c>
      <c r="D28" s="120">
        <v>4</v>
      </c>
      <c r="E28" s="56">
        <v>4</v>
      </c>
      <c r="F28" s="119">
        <v>5</v>
      </c>
      <c r="G28" s="123">
        <v>1</v>
      </c>
      <c r="H28" s="121">
        <v>1.3580000000000001</v>
      </c>
      <c r="I28" s="121">
        <v>0.89</v>
      </c>
      <c r="J28" s="121">
        <v>4.12</v>
      </c>
      <c r="K28" s="122">
        <v>17.3</v>
      </c>
      <c r="L28" s="122">
        <v>22.6</v>
      </c>
      <c r="M28" s="122">
        <v>4</v>
      </c>
    </row>
    <row r="29" spans="1:13" ht="15.75" customHeight="1" x14ac:dyDescent="0.25">
      <c r="A29" s="118">
        <v>28</v>
      </c>
      <c r="B29" s="118" t="s">
        <v>194</v>
      </c>
      <c r="C29" s="119">
        <v>648</v>
      </c>
      <c r="D29" s="119">
        <v>4</v>
      </c>
      <c r="E29" s="56">
        <v>3</v>
      </c>
      <c r="F29" s="119">
        <v>5</v>
      </c>
      <c r="G29" s="123">
        <v>1</v>
      </c>
      <c r="H29" s="121">
        <v>0.755</v>
      </c>
      <c r="I29" s="121">
        <v>1.1100000000000001</v>
      </c>
      <c r="J29" s="121">
        <v>3.99</v>
      </c>
      <c r="K29" s="122">
        <v>28.5</v>
      </c>
      <c r="L29" s="122">
        <v>30</v>
      </c>
      <c r="M29" s="122">
        <v>3</v>
      </c>
    </row>
    <row r="30" spans="1:13" ht="15.75" customHeight="1" x14ac:dyDescent="0.25">
      <c r="A30" s="118">
        <v>29</v>
      </c>
      <c r="B30" s="118" t="s">
        <v>72</v>
      </c>
      <c r="C30" s="119">
        <v>588</v>
      </c>
      <c r="D30" s="123"/>
      <c r="E30" s="15"/>
      <c r="F30" s="119">
        <v>4</v>
      </c>
      <c r="G30" s="123">
        <v>0</v>
      </c>
      <c r="H30" s="121">
        <v>1.5169999999999999</v>
      </c>
      <c r="I30" s="121">
        <v>1.07</v>
      </c>
      <c r="J30" s="121">
        <v>5.91</v>
      </c>
      <c r="K30" s="122">
        <v>19.100000000000001</v>
      </c>
      <c r="L30" s="122">
        <v>42.3</v>
      </c>
      <c r="M30" s="122">
        <v>5</v>
      </c>
    </row>
    <row r="31" spans="1:13" ht="15.75" customHeight="1" x14ac:dyDescent="0.25">
      <c r="A31" s="118">
        <v>30</v>
      </c>
      <c r="B31" s="118" t="s">
        <v>76</v>
      </c>
      <c r="C31" s="119">
        <v>675</v>
      </c>
      <c r="D31" s="120">
        <v>3</v>
      </c>
      <c r="E31" s="56">
        <v>3</v>
      </c>
      <c r="F31" s="119">
        <v>4</v>
      </c>
      <c r="G31" s="123">
        <v>1</v>
      </c>
      <c r="H31" s="121">
        <v>0.81</v>
      </c>
      <c r="I31" s="121">
        <v>1.3</v>
      </c>
      <c r="J31" s="121">
        <v>5.91</v>
      </c>
      <c r="K31" s="122">
        <v>22.1</v>
      </c>
      <c r="L31" s="122">
        <v>31</v>
      </c>
      <c r="M31" s="122">
        <v>5</v>
      </c>
    </row>
    <row r="32" spans="1:13" ht="15.75" customHeight="1" x14ac:dyDescent="0.25">
      <c r="A32" s="118">
        <v>31</v>
      </c>
      <c r="B32" s="118" t="s">
        <v>91</v>
      </c>
      <c r="C32" s="120">
        <v>358</v>
      </c>
      <c r="D32" s="123"/>
      <c r="E32" s="15"/>
      <c r="F32" s="119">
        <v>4</v>
      </c>
      <c r="G32" s="123">
        <v>0</v>
      </c>
      <c r="H32" s="121">
        <v>0.77600000000000002</v>
      </c>
      <c r="I32" s="121">
        <v>0.82</v>
      </c>
      <c r="J32" s="121">
        <v>5.27</v>
      </c>
      <c r="K32" s="122">
        <v>18</v>
      </c>
      <c r="L32" s="122">
        <v>30.1</v>
      </c>
      <c r="M32" s="122">
        <v>5</v>
      </c>
    </row>
    <row r="33" spans="1:13" ht="15.75" customHeight="1" x14ac:dyDescent="0.25">
      <c r="A33" s="118">
        <v>32</v>
      </c>
      <c r="B33" s="118" t="s">
        <v>195</v>
      </c>
      <c r="C33" s="120">
        <v>144</v>
      </c>
      <c r="D33" s="119">
        <v>3</v>
      </c>
      <c r="E33" s="57">
        <v>4</v>
      </c>
      <c r="F33" s="119">
        <v>4</v>
      </c>
      <c r="G33" s="123">
        <v>1</v>
      </c>
      <c r="H33" s="121">
        <v>1.151</v>
      </c>
      <c r="I33" s="121">
        <v>0.68</v>
      </c>
      <c r="J33" s="121">
        <v>5.6</v>
      </c>
      <c r="K33" s="122">
        <v>19.2</v>
      </c>
      <c r="L33" s="122">
        <v>32.799999999999997</v>
      </c>
      <c r="M33" s="122">
        <v>4</v>
      </c>
    </row>
    <row r="34" spans="1:13" ht="15.75" customHeight="1" x14ac:dyDescent="0.25">
      <c r="A34" s="118">
        <v>33</v>
      </c>
      <c r="B34" s="118" t="s">
        <v>131</v>
      </c>
      <c r="C34" s="119">
        <v>169</v>
      </c>
      <c r="D34" s="123"/>
      <c r="E34" s="15"/>
      <c r="F34" s="119">
        <v>4</v>
      </c>
      <c r="G34" s="123">
        <v>0</v>
      </c>
      <c r="H34" s="121">
        <v>0.93600000000000005</v>
      </c>
      <c r="I34" s="121">
        <v>0.73</v>
      </c>
      <c r="J34" s="121">
        <v>3.6</v>
      </c>
      <c r="K34" s="122">
        <v>19.2</v>
      </c>
      <c r="L34" s="122">
        <v>32.799999999999997</v>
      </c>
      <c r="M34" s="122">
        <v>4</v>
      </c>
    </row>
    <row r="35" spans="1:13" ht="15.75" customHeight="1" x14ac:dyDescent="0.25">
      <c r="A35" s="118">
        <v>34</v>
      </c>
      <c r="B35" s="118" t="s">
        <v>41</v>
      </c>
      <c r="C35" s="120">
        <v>361</v>
      </c>
      <c r="D35" s="123"/>
      <c r="E35" s="15"/>
      <c r="F35" s="119">
        <v>4</v>
      </c>
      <c r="G35" s="123">
        <v>0</v>
      </c>
      <c r="H35" s="121">
        <v>1.7769999999999999</v>
      </c>
      <c r="I35" s="121">
        <v>1.25</v>
      </c>
      <c r="J35" s="121">
        <v>3.75</v>
      </c>
      <c r="K35" s="122">
        <v>21.3</v>
      </c>
      <c r="L35" s="122">
        <v>37.4</v>
      </c>
      <c r="M35" s="122">
        <v>3</v>
      </c>
    </row>
    <row r="36" spans="1:13" ht="15.75" customHeight="1" x14ac:dyDescent="0.25">
      <c r="A36" s="118">
        <v>35</v>
      </c>
      <c r="B36" s="118" t="s">
        <v>196</v>
      </c>
      <c r="C36" s="120">
        <v>126</v>
      </c>
      <c r="D36" s="119">
        <v>3</v>
      </c>
      <c r="E36" s="57">
        <v>3</v>
      </c>
      <c r="F36" s="119">
        <v>4</v>
      </c>
      <c r="G36" s="123">
        <v>1</v>
      </c>
      <c r="H36" s="121">
        <v>1.1930000000000001</v>
      </c>
      <c r="I36" s="121">
        <v>0.55000000000000004</v>
      </c>
      <c r="J36" s="121">
        <v>3.6</v>
      </c>
      <c r="K36" s="122">
        <v>19.2</v>
      </c>
      <c r="L36" s="122">
        <v>32.799999999999997</v>
      </c>
      <c r="M36" s="122">
        <v>5</v>
      </c>
    </row>
    <row r="37" spans="1:13" ht="15.75" customHeight="1" x14ac:dyDescent="0.25">
      <c r="A37" s="118">
        <v>36</v>
      </c>
      <c r="B37" s="118" t="s">
        <v>197</v>
      </c>
      <c r="C37" s="119">
        <v>409</v>
      </c>
      <c r="D37" s="123"/>
      <c r="E37" s="15"/>
      <c r="F37" s="119">
        <v>4</v>
      </c>
      <c r="G37" s="123">
        <v>0</v>
      </c>
      <c r="H37" s="123"/>
      <c r="I37" s="121">
        <v>1.41</v>
      </c>
      <c r="J37" s="121">
        <v>3.14</v>
      </c>
      <c r="K37" s="122">
        <v>18.399999999999999</v>
      </c>
      <c r="L37" s="122">
        <v>55.2</v>
      </c>
      <c r="M37" s="122">
        <v>5</v>
      </c>
    </row>
    <row r="38" spans="1:13" ht="15.75" customHeight="1" x14ac:dyDescent="0.25">
      <c r="A38" s="118">
        <v>37</v>
      </c>
      <c r="B38" s="118" t="s">
        <v>198</v>
      </c>
      <c r="C38" s="120">
        <v>130</v>
      </c>
      <c r="D38" s="123"/>
      <c r="E38" s="15"/>
      <c r="F38" s="119">
        <v>4</v>
      </c>
      <c r="G38" s="123">
        <v>0</v>
      </c>
      <c r="H38" s="121">
        <v>0.91</v>
      </c>
      <c r="I38" s="121">
        <v>0.65</v>
      </c>
      <c r="J38" s="121">
        <v>4.71</v>
      </c>
      <c r="K38" s="122">
        <v>19.2</v>
      </c>
      <c r="L38" s="122">
        <v>32.799999999999997</v>
      </c>
      <c r="M38" s="122">
        <v>5</v>
      </c>
    </row>
    <row r="39" spans="1:13" ht="15.75" customHeight="1" x14ac:dyDescent="0.25">
      <c r="A39" s="118">
        <v>38</v>
      </c>
      <c r="B39" s="118" t="s">
        <v>83</v>
      </c>
      <c r="C39" s="119">
        <v>427</v>
      </c>
      <c r="D39" s="123"/>
      <c r="E39" s="15"/>
      <c r="F39" s="119">
        <v>4</v>
      </c>
      <c r="G39" s="123">
        <v>0</v>
      </c>
      <c r="H39" s="121">
        <v>1.766</v>
      </c>
      <c r="I39" s="121">
        <v>1.41</v>
      </c>
      <c r="J39" s="121">
        <v>5.48</v>
      </c>
      <c r="K39" s="122">
        <v>20.9</v>
      </c>
      <c r="L39" s="122">
        <v>39.9</v>
      </c>
      <c r="M39" s="122">
        <v>6</v>
      </c>
    </row>
    <row r="40" spans="1:13" ht="15.75" customHeight="1" x14ac:dyDescent="0.25">
      <c r="A40" s="118">
        <v>39</v>
      </c>
      <c r="B40" s="118" t="s">
        <v>199</v>
      </c>
      <c r="C40" s="119">
        <v>139</v>
      </c>
      <c r="D40" s="123"/>
      <c r="E40" s="15"/>
      <c r="F40" s="119">
        <v>4</v>
      </c>
      <c r="G40" s="123">
        <v>0</v>
      </c>
      <c r="H40" s="121">
        <v>1.464</v>
      </c>
      <c r="I40" s="121">
        <v>0.67</v>
      </c>
      <c r="J40" s="121">
        <v>4.1500000000000004</v>
      </c>
      <c r="K40" s="122">
        <v>19.2</v>
      </c>
      <c r="L40" s="122">
        <v>32.799999999999997</v>
      </c>
      <c r="M40" s="122">
        <v>4</v>
      </c>
    </row>
    <row r="41" spans="1:13" ht="15.75" customHeight="1" x14ac:dyDescent="0.25">
      <c r="A41" s="118">
        <v>40</v>
      </c>
      <c r="B41" s="118" t="s">
        <v>200</v>
      </c>
      <c r="C41" s="119">
        <v>182</v>
      </c>
      <c r="D41" s="123"/>
      <c r="E41" s="15"/>
      <c r="F41" s="119">
        <v>4</v>
      </c>
      <c r="G41" s="123">
        <v>0</v>
      </c>
      <c r="H41" s="121">
        <v>1.448</v>
      </c>
      <c r="I41" s="121">
        <v>0.59</v>
      </c>
      <c r="J41" s="121">
        <v>4.0999999999999996</v>
      </c>
      <c r="K41" s="122">
        <v>19.2</v>
      </c>
      <c r="L41" s="122">
        <v>32.799999999999997</v>
      </c>
      <c r="M41" s="122">
        <v>2</v>
      </c>
    </row>
    <row r="42" spans="1:13" ht="15.75" customHeight="1" x14ac:dyDescent="0.25">
      <c r="A42" s="118">
        <v>41</v>
      </c>
      <c r="B42" s="118" t="s">
        <v>201</v>
      </c>
      <c r="C42" s="120">
        <v>57</v>
      </c>
      <c r="D42" s="123"/>
      <c r="E42" s="15"/>
      <c r="F42" s="119">
        <v>4</v>
      </c>
      <c r="G42" s="123">
        <v>0</v>
      </c>
      <c r="H42" s="121">
        <v>1.1259999999999999</v>
      </c>
      <c r="I42" s="121">
        <v>0.43</v>
      </c>
      <c r="J42" s="121">
        <v>6.95</v>
      </c>
      <c r="K42" s="122">
        <v>19.2</v>
      </c>
      <c r="L42" s="122">
        <v>32.799999999999997</v>
      </c>
      <c r="M42" s="122">
        <v>5</v>
      </c>
    </row>
    <row r="43" spans="1:13" ht="15.75" customHeight="1" x14ac:dyDescent="0.25">
      <c r="A43" s="118">
        <v>42</v>
      </c>
      <c r="B43" s="118" t="s">
        <v>49</v>
      </c>
      <c r="C43" s="119">
        <v>486</v>
      </c>
      <c r="D43" s="123"/>
      <c r="E43" s="15"/>
      <c r="F43" s="119">
        <v>4</v>
      </c>
      <c r="G43" s="123">
        <v>0</v>
      </c>
      <c r="H43" s="121">
        <v>1.5760000000000001</v>
      </c>
      <c r="I43" s="121">
        <v>1.1100000000000001</v>
      </c>
      <c r="J43" s="121">
        <v>3.78</v>
      </c>
      <c r="K43" s="122">
        <v>10.1</v>
      </c>
      <c r="L43" s="122">
        <v>33.799999999999997</v>
      </c>
      <c r="M43" s="122">
        <v>5</v>
      </c>
    </row>
    <row r="44" spans="1:13" ht="15.75" customHeight="1" x14ac:dyDescent="0.25">
      <c r="A44" s="118">
        <v>43</v>
      </c>
      <c r="B44" s="118" t="s">
        <v>78</v>
      </c>
      <c r="C44" s="120">
        <v>551</v>
      </c>
      <c r="D44" s="123"/>
      <c r="E44" s="15"/>
      <c r="F44" s="119">
        <v>4</v>
      </c>
      <c r="G44" s="123">
        <v>0</v>
      </c>
      <c r="H44" s="123"/>
      <c r="I44" s="121">
        <v>1.1499999999999999</v>
      </c>
      <c r="J44" s="121">
        <v>4.03</v>
      </c>
      <c r="K44" s="122">
        <v>16.7</v>
      </c>
      <c r="L44" s="122">
        <v>35.9</v>
      </c>
      <c r="M44" s="122">
        <v>3</v>
      </c>
    </row>
    <row r="45" spans="1:13" ht="15.75" customHeight="1" x14ac:dyDescent="0.25">
      <c r="A45" s="118">
        <v>44</v>
      </c>
      <c r="B45" s="118" t="s">
        <v>202</v>
      </c>
      <c r="C45" s="119">
        <v>441</v>
      </c>
      <c r="D45" s="120">
        <v>4</v>
      </c>
      <c r="E45" s="56">
        <v>3</v>
      </c>
      <c r="F45" s="119">
        <v>4</v>
      </c>
      <c r="G45" s="123">
        <v>1</v>
      </c>
      <c r="H45" s="123"/>
      <c r="I45" s="121">
        <v>5.0999999999999996</v>
      </c>
      <c r="J45" s="121">
        <v>2.66</v>
      </c>
      <c r="K45" s="122">
        <v>15.3</v>
      </c>
      <c r="L45" s="122">
        <v>36.1</v>
      </c>
      <c r="M45" s="122">
        <v>4</v>
      </c>
    </row>
    <row r="46" spans="1:13" ht="15.75" customHeight="1" x14ac:dyDescent="0.25">
      <c r="A46" s="118">
        <v>45</v>
      </c>
      <c r="B46" s="118" t="s">
        <v>203</v>
      </c>
      <c r="C46" s="119">
        <v>344</v>
      </c>
      <c r="D46" s="119">
        <v>3</v>
      </c>
      <c r="E46" s="56">
        <v>3</v>
      </c>
      <c r="F46" s="119">
        <v>4</v>
      </c>
      <c r="G46" s="123">
        <v>1</v>
      </c>
      <c r="H46" s="121">
        <v>0.72299999999999998</v>
      </c>
      <c r="I46" s="121">
        <v>0.73</v>
      </c>
      <c r="J46" s="121">
        <v>7.22</v>
      </c>
      <c r="K46" s="122">
        <v>23.6</v>
      </c>
      <c r="L46" s="122">
        <v>36</v>
      </c>
      <c r="M46" s="122">
        <v>4</v>
      </c>
    </row>
    <row r="47" spans="1:13" ht="15.75" customHeight="1" x14ac:dyDescent="0.25">
      <c r="A47" s="118">
        <v>46</v>
      </c>
      <c r="B47" s="118" t="s">
        <v>204</v>
      </c>
      <c r="C47" s="119">
        <v>357</v>
      </c>
      <c r="D47" s="120">
        <v>3</v>
      </c>
      <c r="E47" s="56">
        <v>3</v>
      </c>
      <c r="F47" s="119">
        <v>4</v>
      </c>
      <c r="G47" s="123">
        <v>1</v>
      </c>
      <c r="H47" s="121">
        <v>1.1779999999999999</v>
      </c>
      <c r="I47" s="121">
        <v>1.27</v>
      </c>
      <c r="J47" s="121">
        <v>4.74</v>
      </c>
      <c r="K47" s="122">
        <v>19.7</v>
      </c>
      <c r="L47" s="122">
        <v>29.3</v>
      </c>
      <c r="M47" s="122">
        <v>3</v>
      </c>
    </row>
    <row r="48" spans="1:13" ht="15.75" customHeight="1" x14ac:dyDescent="0.25">
      <c r="A48" s="118">
        <v>47</v>
      </c>
      <c r="B48" s="118" t="s">
        <v>205</v>
      </c>
      <c r="C48" s="119">
        <v>279</v>
      </c>
      <c r="D48" s="123"/>
      <c r="E48" s="15"/>
      <c r="F48" s="119">
        <v>4</v>
      </c>
      <c r="G48" s="123">
        <v>0</v>
      </c>
      <c r="H48" s="121">
        <v>1.054</v>
      </c>
      <c r="I48" s="121">
        <v>1.24</v>
      </c>
      <c r="J48" s="121">
        <v>4.5</v>
      </c>
      <c r="K48" s="122">
        <v>38.5</v>
      </c>
      <c r="L48" s="122">
        <v>34.6</v>
      </c>
      <c r="M48" s="122">
        <v>4</v>
      </c>
    </row>
    <row r="49" spans="1:13" ht="15.75" customHeight="1" x14ac:dyDescent="0.25">
      <c r="A49" s="118">
        <v>48</v>
      </c>
      <c r="B49" s="118" t="s">
        <v>206</v>
      </c>
      <c r="C49" s="119">
        <v>312</v>
      </c>
      <c r="D49" s="120">
        <v>3</v>
      </c>
      <c r="E49" s="56">
        <v>3</v>
      </c>
      <c r="F49" s="119">
        <v>4</v>
      </c>
      <c r="G49" s="123">
        <v>1</v>
      </c>
      <c r="H49" s="121">
        <v>1.2669999999999999</v>
      </c>
      <c r="I49" s="121">
        <v>1.08</v>
      </c>
      <c r="J49" s="121">
        <v>5.37</v>
      </c>
      <c r="K49" s="122">
        <v>14.6</v>
      </c>
      <c r="L49" s="122">
        <v>27.7</v>
      </c>
      <c r="M49" s="122">
        <v>3</v>
      </c>
    </row>
    <row r="50" spans="1:13" ht="15.75" customHeight="1" x14ac:dyDescent="0.25">
      <c r="A50" s="118">
        <v>49</v>
      </c>
      <c r="B50" s="118" t="s">
        <v>207</v>
      </c>
      <c r="C50" s="119">
        <v>154</v>
      </c>
      <c r="D50" s="119">
        <v>4</v>
      </c>
      <c r="E50" s="56">
        <v>4</v>
      </c>
      <c r="F50" s="119">
        <v>4</v>
      </c>
      <c r="G50" s="123">
        <v>1</v>
      </c>
      <c r="H50" s="121">
        <v>1.7310000000000001</v>
      </c>
      <c r="I50" s="121">
        <v>0.67</v>
      </c>
      <c r="J50" s="121">
        <v>5.18</v>
      </c>
      <c r="K50" s="122">
        <v>19.2</v>
      </c>
      <c r="L50" s="122">
        <v>32.799999999999997</v>
      </c>
      <c r="M50" s="122">
        <v>4</v>
      </c>
    </row>
    <row r="51" spans="1:13" ht="15.75" customHeight="1" x14ac:dyDescent="0.25">
      <c r="A51" s="118">
        <v>50</v>
      </c>
      <c r="B51" s="118" t="s">
        <v>208</v>
      </c>
      <c r="C51" s="120">
        <v>330</v>
      </c>
      <c r="D51" s="120">
        <v>4</v>
      </c>
      <c r="E51" s="57">
        <v>4</v>
      </c>
      <c r="F51" s="119">
        <v>4</v>
      </c>
      <c r="G51" s="123">
        <v>1</v>
      </c>
      <c r="H51" s="121">
        <v>0.71899999999999997</v>
      </c>
      <c r="I51" s="121">
        <v>1.06</v>
      </c>
      <c r="J51" s="121">
        <v>2.75</v>
      </c>
      <c r="K51" s="122">
        <v>16.7</v>
      </c>
      <c r="L51" s="122">
        <v>34</v>
      </c>
      <c r="M51" s="122">
        <v>3</v>
      </c>
    </row>
    <row r="52" spans="1:13" ht="15.75" customHeight="1" x14ac:dyDescent="0.25">
      <c r="A52" s="118">
        <v>51</v>
      </c>
      <c r="B52" s="118" t="s">
        <v>104</v>
      </c>
      <c r="C52" s="119">
        <v>440</v>
      </c>
      <c r="D52" s="120">
        <v>4</v>
      </c>
      <c r="E52" s="56">
        <v>4</v>
      </c>
      <c r="F52" s="119">
        <v>4</v>
      </c>
      <c r="G52" s="123">
        <v>1</v>
      </c>
      <c r="H52" s="123"/>
      <c r="I52" s="121">
        <v>0.67</v>
      </c>
      <c r="J52" s="121">
        <v>4.92</v>
      </c>
      <c r="K52" s="122">
        <v>26.8</v>
      </c>
      <c r="L52" s="122">
        <v>27.4</v>
      </c>
      <c r="M52" s="122">
        <v>6</v>
      </c>
    </row>
    <row r="53" spans="1:13" ht="15.75" customHeight="1" x14ac:dyDescent="0.25">
      <c r="A53" s="118">
        <v>52</v>
      </c>
      <c r="B53" s="118" t="s">
        <v>209</v>
      </c>
      <c r="C53" s="119">
        <v>96</v>
      </c>
      <c r="D53" s="123"/>
      <c r="E53" s="15"/>
      <c r="F53" s="119">
        <v>4</v>
      </c>
      <c r="G53" s="123">
        <v>0</v>
      </c>
      <c r="H53" s="121">
        <v>0.79400000000000004</v>
      </c>
      <c r="I53" s="121">
        <v>2.98</v>
      </c>
      <c r="J53" s="121">
        <v>4.16</v>
      </c>
      <c r="K53" s="122">
        <v>19.2</v>
      </c>
      <c r="L53" s="122">
        <v>32.799999999999997</v>
      </c>
      <c r="M53" s="122">
        <v>4</v>
      </c>
    </row>
    <row r="54" spans="1:13" ht="15.75" customHeight="1" x14ac:dyDescent="0.25">
      <c r="A54" s="118">
        <v>53</v>
      </c>
      <c r="B54" s="118" t="s">
        <v>52</v>
      </c>
      <c r="C54" s="119">
        <v>430</v>
      </c>
      <c r="D54" s="123"/>
      <c r="E54" s="15"/>
      <c r="F54" s="119">
        <v>4</v>
      </c>
      <c r="G54" s="123">
        <v>0</v>
      </c>
      <c r="H54" s="121">
        <v>1.1439999999999999</v>
      </c>
      <c r="I54" s="121">
        <v>0.89</v>
      </c>
      <c r="J54" s="121">
        <v>4.49</v>
      </c>
      <c r="K54" s="122">
        <v>25.2</v>
      </c>
      <c r="L54" s="122">
        <v>36</v>
      </c>
      <c r="M54" s="122">
        <v>4</v>
      </c>
    </row>
    <row r="55" spans="1:13" ht="15.75" customHeight="1" x14ac:dyDescent="0.25">
      <c r="A55" s="118">
        <v>54</v>
      </c>
      <c r="B55" s="118" t="s">
        <v>210</v>
      </c>
      <c r="C55" s="120">
        <v>144</v>
      </c>
      <c r="D55" s="119">
        <v>5</v>
      </c>
      <c r="E55" s="57">
        <v>5</v>
      </c>
      <c r="F55" s="119">
        <v>4</v>
      </c>
      <c r="G55" s="123">
        <v>1</v>
      </c>
      <c r="H55" s="121">
        <v>0.75800000000000001</v>
      </c>
      <c r="I55" s="121">
        <v>0.35</v>
      </c>
      <c r="J55" s="121">
        <v>5.58</v>
      </c>
      <c r="K55" s="122">
        <v>19.2</v>
      </c>
      <c r="L55" s="122">
        <v>32.799999999999997</v>
      </c>
      <c r="M55" s="122">
        <v>9</v>
      </c>
    </row>
    <row r="56" spans="1:13" ht="15.75" customHeight="1" x14ac:dyDescent="0.25">
      <c r="A56" s="118">
        <v>55</v>
      </c>
      <c r="B56" s="118" t="s">
        <v>211</v>
      </c>
      <c r="C56" s="119">
        <v>184</v>
      </c>
      <c r="D56" s="123"/>
      <c r="E56" s="15"/>
      <c r="F56" s="119">
        <v>4</v>
      </c>
      <c r="G56" s="123">
        <v>0</v>
      </c>
      <c r="H56" s="121">
        <v>0.69599999999999995</v>
      </c>
      <c r="I56" s="121">
        <v>0.65</v>
      </c>
      <c r="J56" s="121">
        <v>2.38</v>
      </c>
      <c r="K56" s="122">
        <v>19.2</v>
      </c>
      <c r="L56" s="122">
        <v>32.799999999999997</v>
      </c>
      <c r="M56" s="122">
        <v>4</v>
      </c>
    </row>
    <row r="57" spans="1:13" ht="15.75" customHeight="1" x14ac:dyDescent="0.25">
      <c r="A57" s="118">
        <v>56</v>
      </c>
      <c r="B57" s="118" t="s">
        <v>212</v>
      </c>
      <c r="C57" s="119">
        <v>240</v>
      </c>
      <c r="D57" s="123"/>
      <c r="E57" s="15"/>
      <c r="F57" s="119">
        <v>4</v>
      </c>
      <c r="G57" s="123">
        <v>0</v>
      </c>
      <c r="H57" s="121">
        <v>0.90300000000000002</v>
      </c>
      <c r="I57" s="121">
        <v>1.23</v>
      </c>
      <c r="J57" s="121">
        <v>3.11</v>
      </c>
      <c r="K57" s="122">
        <v>19.2</v>
      </c>
      <c r="L57" s="122">
        <v>32.799999999999997</v>
      </c>
      <c r="M57" s="122">
        <v>5</v>
      </c>
    </row>
    <row r="58" spans="1:13" ht="15.75" customHeight="1" x14ac:dyDescent="0.25">
      <c r="A58" s="118">
        <v>57</v>
      </c>
      <c r="B58" s="118" t="s">
        <v>213</v>
      </c>
      <c r="C58" s="120">
        <v>269</v>
      </c>
      <c r="D58" s="120">
        <v>3</v>
      </c>
      <c r="E58" s="57">
        <v>3</v>
      </c>
      <c r="F58" s="119">
        <v>4</v>
      </c>
      <c r="G58" s="123">
        <v>1</v>
      </c>
      <c r="H58" s="121">
        <v>1.304</v>
      </c>
      <c r="I58" s="121">
        <v>0.94</v>
      </c>
      <c r="J58" s="121">
        <v>6.57</v>
      </c>
      <c r="K58" s="122">
        <v>20.7</v>
      </c>
      <c r="L58" s="122">
        <v>47.7</v>
      </c>
      <c r="M58" s="122">
        <v>2</v>
      </c>
    </row>
    <row r="59" spans="1:13" ht="15.75" customHeight="1" x14ac:dyDescent="0.25">
      <c r="A59" s="118">
        <v>58</v>
      </c>
      <c r="B59" s="118" t="s">
        <v>214</v>
      </c>
      <c r="C59" s="120">
        <v>113</v>
      </c>
      <c r="D59" s="123"/>
      <c r="E59" s="15"/>
      <c r="F59" s="119">
        <v>4</v>
      </c>
      <c r="G59" s="123">
        <v>0</v>
      </c>
      <c r="H59" s="121">
        <v>0.70699999999999996</v>
      </c>
      <c r="I59" s="121">
        <v>1.1299999999999999</v>
      </c>
      <c r="J59" s="121">
        <v>4.72</v>
      </c>
      <c r="K59" s="122">
        <v>19.2</v>
      </c>
      <c r="L59" s="122">
        <v>32.799999999999997</v>
      </c>
      <c r="M59" s="122">
        <v>6</v>
      </c>
    </row>
    <row r="60" spans="1:13" ht="15.75" customHeight="1" x14ac:dyDescent="0.25">
      <c r="A60" s="118">
        <v>59</v>
      </c>
      <c r="B60" s="118" t="s">
        <v>215</v>
      </c>
      <c r="C60" s="119">
        <v>109</v>
      </c>
      <c r="D60" s="123"/>
      <c r="E60" s="15"/>
      <c r="F60" s="119">
        <v>4</v>
      </c>
      <c r="G60" s="123">
        <v>0</v>
      </c>
      <c r="H60" s="121">
        <v>0.69899999999999995</v>
      </c>
      <c r="I60" s="121">
        <v>0.62</v>
      </c>
      <c r="J60" s="121">
        <v>3.06</v>
      </c>
      <c r="K60" s="122">
        <v>19.2</v>
      </c>
      <c r="L60" s="122">
        <v>32.799999999999997</v>
      </c>
      <c r="M60" s="122">
        <v>4</v>
      </c>
    </row>
    <row r="61" spans="1:13" ht="15.75" customHeight="1" x14ac:dyDescent="0.25">
      <c r="A61" s="118">
        <v>60</v>
      </c>
      <c r="B61" s="118" t="s">
        <v>216</v>
      </c>
      <c r="C61" s="120">
        <v>676</v>
      </c>
      <c r="D61" s="120">
        <v>4</v>
      </c>
      <c r="E61" s="57">
        <v>4</v>
      </c>
      <c r="F61" s="119">
        <v>4</v>
      </c>
      <c r="G61" s="123">
        <v>1</v>
      </c>
      <c r="H61" s="121">
        <v>0.88700000000000001</v>
      </c>
      <c r="I61" s="121">
        <v>1.7</v>
      </c>
      <c r="J61" s="121">
        <v>5.75</v>
      </c>
      <c r="K61" s="122">
        <v>23.6</v>
      </c>
      <c r="L61" s="122">
        <v>38</v>
      </c>
      <c r="M61" s="122">
        <v>4</v>
      </c>
    </row>
    <row r="62" spans="1:13" ht="15.75" customHeight="1" x14ac:dyDescent="0.25">
      <c r="A62" s="118">
        <v>61</v>
      </c>
      <c r="B62" s="118" t="s">
        <v>77</v>
      </c>
      <c r="C62" s="120">
        <v>271</v>
      </c>
      <c r="D62" s="123"/>
      <c r="E62" s="15"/>
      <c r="F62" s="119">
        <v>4</v>
      </c>
      <c r="G62" s="123">
        <v>0</v>
      </c>
      <c r="H62" s="121">
        <v>1.02</v>
      </c>
      <c r="I62" s="121">
        <v>1.05</v>
      </c>
      <c r="J62" s="121">
        <v>3.82</v>
      </c>
      <c r="K62" s="122">
        <v>15.7</v>
      </c>
      <c r="L62" s="122">
        <v>35.200000000000003</v>
      </c>
      <c r="M62" s="122">
        <v>4</v>
      </c>
    </row>
    <row r="63" spans="1:13" ht="15.75" customHeight="1" x14ac:dyDescent="0.3">
      <c r="A63" s="118">
        <v>62</v>
      </c>
      <c r="B63" s="118" t="s">
        <v>217</v>
      </c>
      <c r="C63" s="119">
        <v>574</v>
      </c>
      <c r="D63" s="120">
        <v>3</v>
      </c>
      <c r="E63" s="60">
        <v>4</v>
      </c>
      <c r="F63" s="119">
        <v>4</v>
      </c>
      <c r="G63" s="123">
        <v>1</v>
      </c>
      <c r="H63" s="121">
        <v>1.05</v>
      </c>
      <c r="I63" s="121">
        <v>1.1399999999999999</v>
      </c>
      <c r="J63" s="121">
        <v>5.16</v>
      </c>
      <c r="K63" s="122">
        <v>11</v>
      </c>
      <c r="L63" s="122">
        <v>25.3</v>
      </c>
      <c r="M63" s="122">
        <v>5</v>
      </c>
    </row>
    <row r="64" spans="1:13" ht="15.75" customHeight="1" x14ac:dyDescent="0.25">
      <c r="A64" s="118">
        <v>63</v>
      </c>
      <c r="B64" s="118" t="s">
        <v>218</v>
      </c>
      <c r="C64" s="119">
        <v>542</v>
      </c>
      <c r="D64" s="119">
        <v>4</v>
      </c>
      <c r="E64" s="56">
        <v>4</v>
      </c>
      <c r="F64" s="119">
        <v>4</v>
      </c>
      <c r="G64" s="123">
        <v>1</v>
      </c>
      <c r="H64" s="121">
        <v>0.73899999999999999</v>
      </c>
      <c r="I64" s="121">
        <v>1.38</v>
      </c>
      <c r="J64" s="121">
        <v>4.13</v>
      </c>
      <c r="K64" s="122">
        <v>18.899999999999999</v>
      </c>
      <c r="L64" s="122">
        <v>22.9</v>
      </c>
      <c r="M64" s="122">
        <v>4</v>
      </c>
    </row>
    <row r="65" spans="1:13" ht="15.75" customHeight="1" x14ac:dyDescent="0.25">
      <c r="A65" s="118">
        <v>64</v>
      </c>
      <c r="B65" s="118" t="s">
        <v>219</v>
      </c>
      <c r="C65" s="119">
        <v>322</v>
      </c>
      <c r="D65" s="120">
        <v>5</v>
      </c>
      <c r="E65" s="56">
        <v>5</v>
      </c>
      <c r="F65" s="119">
        <v>4</v>
      </c>
      <c r="G65" s="123">
        <v>1</v>
      </c>
      <c r="H65" s="121">
        <v>1.0549999999999999</v>
      </c>
      <c r="I65" s="121">
        <v>0.96</v>
      </c>
      <c r="J65" s="121">
        <v>4.1500000000000004</v>
      </c>
      <c r="K65" s="122">
        <v>18.600000000000001</v>
      </c>
      <c r="L65" s="122">
        <v>38.9</v>
      </c>
      <c r="M65" s="122">
        <v>4</v>
      </c>
    </row>
    <row r="66" spans="1:13" ht="15.75" customHeight="1" x14ac:dyDescent="0.25">
      <c r="A66" s="118">
        <v>65</v>
      </c>
      <c r="B66" s="118" t="s">
        <v>112</v>
      </c>
      <c r="C66" s="120">
        <v>343</v>
      </c>
      <c r="D66" s="123"/>
      <c r="E66" s="15"/>
      <c r="F66" s="119">
        <v>4</v>
      </c>
      <c r="G66" s="123">
        <v>0</v>
      </c>
      <c r="H66" s="121">
        <v>1.3480000000000001</v>
      </c>
      <c r="I66" s="121">
        <v>1.17</v>
      </c>
      <c r="J66" s="121">
        <v>3.96</v>
      </c>
      <c r="K66" s="122">
        <v>15</v>
      </c>
      <c r="L66" s="122">
        <v>20.7</v>
      </c>
      <c r="M66" s="122">
        <v>5</v>
      </c>
    </row>
    <row r="67" spans="1:13" ht="15.75" customHeight="1" x14ac:dyDescent="0.25">
      <c r="A67" s="118">
        <v>66</v>
      </c>
      <c r="B67" s="118" t="s">
        <v>220</v>
      </c>
      <c r="C67" s="120">
        <v>83</v>
      </c>
      <c r="D67" s="119">
        <v>4</v>
      </c>
      <c r="E67" s="57">
        <v>3</v>
      </c>
      <c r="F67" s="119">
        <v>4</v>
      </c>
      <c r="G67" s="123">
        <v>1</v>
      </c>
      <c r="H67" s="121">
        <v>0.94399999999999995</v>
      </c>
      <c r="I67" s="121">
        <v>0.51</v>
      </c>
      <c r="J67" s="121">
        <v>3.96</v>
      </c>
      <c r="K67" s="122">
        <v>19.2</v>
      </c>
      <c r="L67" s="122">
        <v>32.799999999999997</v>
      </c>
      <c r="M67" s="122">
        <v>5.5</v>
      </c>
    </row>
    <row r="68" spans="1:13" ht="15.75" customHeight="1" x14ac:dyDescent="0.25">
      <c r="A68" s="118">
        <v>67</v>
      </c>
      <c r="B68" s="118" t="s">
        <v>70</v>
      </c>
      <c r="C68" s="120">
        <v>261</v>
      </c>
      <c r="D68" s="120">
        <v>4</v>
      </c>
      <c r="E68" s="57">
        <v>3</v>
      </c>
      <c r="F68" s="119">
        <v>4</v>
      </c>
      <c r="G68" s="123">
        <v>1</v>
      </c>
      <c r="H68" s="121">
        <v>0.751</v>
      </c>
      <c r="I68" s="121">
        <v>0.63</v>
      </c>
      <c r="J68" s="121">
        <v>4.7</v>
      </c>
      <c r="K68" s="122">
        <v>19.2</v>
      </c>
      <c r="L68" s="122">
        <v>32.799999999999997</v>
      </c>
      <c r="M68" s="122">
        <v>4</v>
      </c>
    </row>
    <row r="69" spans="1:13" ht="15.75" customHeight="1" x14ac:dyDescent="0.25">
      <c r="A69" s="118">
        <v>68</v>
      </c>
      <c r="B69" s="118" t="s">
        <v>43</v>
      </c>
      <c r="C69" s="119">
        <v>404</v>
      </c>
      <c r="D69" s="120">
        <v>4</v>
      </c>
      <c r="E69" s="56">
        <v>3</v>
      </c>
      <c r="F69" s="119">
        <v>4</v>
      </c>
      <c r="G69" s="123">
        <v>1</v>
      </c>
      <c r="H69" s="121">
        <v>0.75</v>
      </c>
      <c r="I69" s="121">
        <v>1.31</v>
      </c>
      <c r="J69" s="121">
        <v>3.22</v>
      </c>
      <c r="K69" s="122">
        <v>13.3</v>
      </c>
      <c r="L69" s="122">
        <v>49.4</v>
      </c>
      <c r="M69" s="122">
        <v>7</v>
      </c>
    </row>
    <row r="70" spans="1:13" ht="15.75" customHeight="1" x14ac:dyDescent="0.25">
      <c r="A70" s="118">
        <v>69</v>
      </c>
      <c r="B70" s="118" t="s">
        <v>221</v>
      </c>
      <c r="C70" s="120">
        <v>100</v>
      </c>
      <c r="D70" s="119">
        <v>4</v>
      </c>
      <c r="E70" s="57">
        <v>5</v>
      </c>
      <c r="F70" s="119">
        <v>4</v>
      </c>
      <c r="G70" s="123">
        <v>1</v>
      </c>
      <c r="H70" s="121">
        <v>0.77800000000000002</v>
      </c>
      <c r="I70" s="121">
        <v>1.07</v>
      </c>
      <c r="J70" s="121">
        <v>3.97</v>
      </c>
      <c r="K70" s="122">
        <v>19.2</v>
      </c>
      <c r="L70" s="122">
        <v>32.799999999999997</v>
      </c>
      <c r="M70" s="122">
        <v>4</v>
      </c>
    </row>
    <row r="71" spans="1:13" ht="15.75" customHeight="1" x14ac:dyDescent="0.25">
      <c r="A71" s="118">
        <v>70</v>
      </c>
      <c r="B71" s="118" t="s">
        <v>222</v>
      </c>
      <c r="C71" s="120">
        <v>173</v>
      </c>
      <c r="D71" s="120">
        <v>4</v>
      </c>
      <c r="E71" s="57">
        <v>3</v>
      </c>
      <c r="F71" s="119">
        <v>4</v>
      </c>
      <c r="G71" s="123">
        <v>1</v>
      </c>
      <c r="H71" s="121">
        <v>0.95</v>
      </c>
      <c r="I71" s="123"/>
      <c r="J71" s="121">
        <v>5.68</v>
      </c>
      <c r="K71" s="123"/>
      <c r="L71" s="123"/>
      <c r="M71" s="123"/>
    </row>
    <row r="72" spans="1:13" ht="15.75" customHeight="1" x14ac:dyDescent="0.25">
      <c r="A72" s="118">
        <v>71</v>
      </c>
      <c r="B72" s="118" t="s">
        <v>223</v>
      </c>
      <c r="C72" s="119">
        <v>27</v>
      </c>
      <c r="D72" s="123"/>
      <c r="E72" s="15"/>
      <c r="F72" s="119">
        <v>4</v>
      </c>
      <c r="G72" s="123">
        <v>0</v>
      </c>
      <c r="H72" s="121">
        <v>2.6190000000000002</v>
      </c>
      <c r="I72" s="121">
        <v>0.55000000000000004</v>
      </c>
      <c r="J72" s="121">
        <v>3.95</v>
      </c>
      <c r="K72" s="122">
        <v>19.2</v>
      </c>
      <c r="L72" s="122">
        <v>32.799999999999997</v>
      </c>
      <c r="M72" s="122">
        <v>23.5</v>
      </c>
    </row>
    <row r="73" spans="1:13" ht="15.75" customHeight="1" x14ac:dyDescent="0.25">
      <c r="A73" s="118">
        <v>72</v>
      </c>
      <c r="B73" s="118" t="s">
        <v>224</v>
      </c>
      <c r="C73" s="119">
        <v>393</v>
      </c>
      <c r="D73" s="123"/>
      <c r="E73" s="15"/>
      <c r="F73" s="119">
        <v>4</v>
      </c>
      <c r="G73" s="123">
        <v>0</v>
      </c>
      <c r="H73" s="121">
        <v>0.53</v>
      </c>
      <c r="I73" s="121">
        <v>1.21</v>
      </c>
      <c r="J73" s="121">
        <v>4.16</v>
      </c>
      <c r="K73" s="122">
        <v>11.8</v>
      </c>
      <c r="L73" s="122">
        <v>42.2</v>
      </c>
      <c r="M73" s="122">
        <v>4</v>
      </c>
    </row>
    <row r="74" spans="1:13" ht="15.75" customHeight="1" x14ac:dyDescent="0.25">
      <c r="A74" s="118">
        <v>73</v>
      </c>
      <c r="B74" s="118" t="s">
        <v>53</v>
      </c>
      <c r="C74" s="119">
        <v>223</v>
      </c>
      <c r="D74" s="123"/>
      <c r="E74" s="15"/>
      <c r="F74" s="119">
        <v>4</v>
      </c>
      <c r="G74" s="123">
        <v>0</v>
      </c>
      <c r="H74" s="121">
        <v>0.83699999999999997</v>
      </c>
      <c r="I74" s="121">
        <v>0.67</v>
      </c>
      <c r="J74" s="121">
        <v>5.57</v>
      </c>
      <c r="K74" s="122">
        <v>19.2</v>
      </c>
      <c r="L74" s="122">
        <v>32.799999999999997</v>
      </c>
      <c r="M74" s="122">
        <v>4</v>
      </c>
    </row>
    <row r="75" spans="1:13" ht="15.75" customHeight="1" x14ac:dyDescent="0.25">
      <c r="A75" s="118">
        <v>74</v>
      </c>
      <c r="B75" s="118" t="s">
        <v>225</v>
      </c>
      <c r="C75" s="120">
        <v>209</v>
      </c>
      <c r="D75" s="119">
        <v>4</v>
      </c>
      <c r="E75" s="57">
        <v>3</v>
      </c>
      <c r="F75" s="119">
        <v>4</v>
      </c>
      <c r="G75" s="123">
        <v>1</v>
      </c>
      <c r="H75" s="121">
        <v>1.474</v>
      </c>
      <c r="I75" s="121">
        <v>0.63</v>
      </c>
      <c r="J75" s="121">
        <v>3.71</v>
      </c>
      <c r="K75" s="122">
        <v>19.2</v>
      </c>
      <c r="L75" s="122">
        <v>32.799999999999997</v>
      </c>
      <c r="M75" s="122">
        <v>4</v>
      </c>
    </row>
    <row r="76" spans="1:13" ht="15.75" customHeight="1" x14ac:dyDescent="0.25">
      <c r="A76" s="118">
        <v>75</v>
      </c>
      <c r="B76" s="118" t="s">
        <v>226</v>
      </c>
      <c r="C76" s="120">
        <v>96</v>
      </c>
      <c r="D76" s="119">
        <v>4</v>
      </c>
      <c r="E76" s="57">
        <v>3</v>
      </c>
      <c r="F76" s="119">
        <v>4</v>
      </c>
      <c r="G76" s="123">
        <v>1</v>
      </c>
      <c r="H76" s="121">
        <v>0.83899999999999997</v>
      </c>
      <c r="I76" s="121">
        <v>1.2</v>
      </c>
      <c r="J76" s="121">
        <v>3.13</v>
      </c>
      <c r="K76" s="122">
        <v>19.2</v>
      </c>
      <c r="L76" s="122">
        <v>32.799999999999997</v>
      </c>
      <c r="M76" s="122">
        <v>5</v>
      </c>
    </row>
    <row r="77" spans="1:13" ht="15.75" customHeight="1" x14ac:dyDescent="0.25">
      <c r="A77" s="118">
        <v>76</v>
      </c>
      <c r="B77" s="118" t="s">
        <v>227</v>
      </c>
      <c r="C77" s="119">
        <v>162</v>
      </c>
      <c r="D77" s="119">
        <v>4</v>
      </c>
      <c r="E77" s="56">
        <v>3</v>
      </c>
      <c r="F77" s="119">
        <v>4</v>
      </c>
      <c r="G77" s="123">
        <v>1</v>
      </c>
      <c r="H77" s="121">
        <v>0.71499999999999997</v>
      </c>
      <c r="I77" s="121">
        <v>0.68</v>
      </c>
      <c r="J77" s="121">
        <v>3.88</v>
      </c>
      <c r="K77" s="122">
        <v>19.2</v>
      </c>
      <c r="L77" s="122">
        <v>32.799999999999997</v>
      </c>
      <c r="M77" s="122">
        <v>6</v>
      </c>
    </row>
    <row r="78" spans="1:13" ht="15.75" customHeight="1" x14ac:dyDescent="0.25">
      <c r="A78" s="118">
        <v>77</v>
      </c>
      <c r="B78" s="118" t="s">
        <v>44</v>
      </c>
      <c r="C78" s="120">
        <v>584</v>
      </c>
      <c r="D78" s="120">
        <v>5</v>
      </c>
      <c r="E78" s="57">
        <v>4</v>
      </c>
      <c r="F78" s="119">
        <v>4</v>
      </c>
      <c r="G78" s="123">
        <v>1</v>
      </c>
      <c r="H78" s="121">
        <v>1.2070000000000001</v>
      </c>
      <c r="I78" s="121">
        <v>1.1299999999999999</v>
      </c>
      <c r="J78" s="121">
        <v>5.12</v>
      </c>
      <c r="K78" s="122">
        <v>15.3</v>
      </c>
      <c r="L78" s="122">
        <v>32.9</v>
      </c>
      <c r="M78" s="122">
        <v>5</v>
      </c>
    </row>
    <row r="79" spans="1:13" ht="15.75" customHeight="1" x14ac:dyDescent="0.25">
      <c r="A79" s="118">
        <v>78</v>
      </c>
      <c r="B79" s="118" t="s">
        <v>228</v>
      </c>
      <c r="C79" s="119">
        <v>96</v>
      </c>
      <c r="D79" s="123"/>
      <c r="E79" s="15"/>
      <c r="F79" s="119">
        <v>3</v>
      </c>
      <c r="G79" s="123">
        <v>0</v>
      </c>
      <c r="H79" s="121">
        <v>1.667</v>
      </c>
      <c r="I79" s="121">
        <v>0.38</v>
      </c>
      <c r="J79" s="121">
        <v>4.82</v>
      </c>
      <c r="K79" s="122">
        <v>19.2</v>
      </c>
      <c r="L79" s="122">
        <v>32.799999999999997</v>
      </c>
      <c r="M79" s="122">
        <v>6</v>
      </c>
    </row>
    <row r="80" spans="1:13" ht="15.75" customHeight="1" x14ac:dyDescent="0.25">
      <c r="A80" s="118">
        <v>79</v>
      </c>
      <c r="B80" s="118" t="s">
        <v>229</v>
      </c>
      <c r="C80" s="119">
        <v>3</v>
      </c>
      <c r="D80" s="119">
        <v>4</v>
      </c>
      <c r="E80" s="56">
        <v>3</v>
      </c>
      <c r="F80" s="119">
        <v>3</v>
      </c>
      <c r="G80" s="123">
        <v>1</v>
      </c>
      <c r="H80" s="123"/>
      <c r="I80" s="123"/>
      <c r="J80" s="121">
        <v>3.49</v>
      </c>
      <c r="K80" s="123"/>
      <c r="L80" s="123"/>
      <c r="M80" s="123"/>
    </row>
    <row r="81" spans="1:13" ht="15.75" customHeight="1" x14ac:dyDescent="0.25">
      <c r="A81" s="118">
        <v>80</v>
      </c>
      <c r="B81" s="118" t="s">
        <v>90</v>
      </c>
      <c r="C81" s="120">
        <v>153</v>
      </c>
      <c r="D81" s="119">
        <v>3</v>
      </c>
      <c r="E81" s="57">
        <v>3</v>
      </c>
      <c r="F81" s="119">
        <v>3</v>
      </c>
      <c r="G81" s="123">
        <v>1</v>
      </c>
      <c r="H81" s="121">
        <v>1.2569999999999999</v>
      </c>
      <c r="I81" s="121">
        <v>0.88</v>
      </c>
      <c r="J81" s="121">
        <v>6.14</v>
      </c>
      <c r="K81" s="122">
        <v>19.2</v>
      </c>
      <c r="L81" s="122">
        <v>32.799999999999997</v>
      </c>
      <c r="M81" s="122">
        <v>4</v>
      </c>
    </row>
    <row r="82" spans="1:13" ht="15.75" customHeight="1" x14ac:dyDescent="0.25">
      <c r="A82" s="118">
        <v>81</v>
      </c>
      <c r="B82" s="118" t="s">
        <v>230</v>
      </c>
      <c r="C82" s="119">
        <v>194</v>
      </c>
      <c r="D82" s="123"/>
      <c r="E82" s="15"/>
      <c r="F82" s="119">
        <v>3</v>
      </c>
      <c r="G82" s="123">
        <v>0</v>
      </c>
      <c r="H82" s="121">
        <v>1.2969999999999999</v>
      </c>
      <c r="I82" s="121">
        <v>0.82</v>
      </c>
      <c r="J82" s="121">
        <v>4.79</v>
      </c>
      <c r="K82" s="122">
        <v>19.2</v>
      </c>
      <c r="L82" s="122">
        <v>32.799999999999997</v>
      </c>
      <c r="M82" s="122">
        <v>7</v>
      </c>
    </row>
    <row r="83" spans="1:13" ht="15.75" customHeight="1" x14ac:dyDescent="0.25">
      <c r="A83" s="118">
        <v>82</v>
      </c>
      <c r="B83" s="118" t="s">
        <v>231</v>
      </c>
      <c r="C83" s="120">
        <v>2</v>
      </c>
      <c r="D83" s="119">
        <v>4</v>
      </c>
      <c r="E83" s="57">
        <v>4</v>
      </c>
      <c r="F83" s="119">
        <v>3</v>
      </c>
      <c r="G83" s="123">
        <v>1</v>
      </c>
      <c r="H83" s="123"/>
      <c r="I83" s="121">
        <v>1.4</v>
      </c>
      <c r="J83" s="121">
        <v>0.87</v>
      </c>
      <c r="K83" s="122">
        <v>19.2</v>
      </c>
      <c r="L83" s="122">
        <v>32.799999999999997</v>
      </c>
      <c r="M83" s="122">
        <v>7.5</v>
      </c>
    </row>
    <row r="84" spans="1:13" ht="15.75" customHeight="1" x14ac:dyDescent="0.25">
      <c r="A84" s="118">
        <v>83</v>
      </c>
      <c r="B84" s="118" t="s">
        <v>62</v>
      </c>
      <c r="C84" s="119">
        <v>720</v>
      </c>
      <c r="D84" s="123"/>
      <c r="E84" s="15"/>
      <c r="F84" s="119">
        <v>3</v>
      </c>
      <c r="G84" s="123">
        <v>0</v>
      </c>
      <c r="H84" s="123"/>
      <c r="I84" s="121">
        <v>1.42</v>
      </c>
      <c r="J84" s="121">
        <v>6.17</v>
      </c>
      <c r="K84" s="122">
        <v>48.1</v>
      </c>
      <c r="L84" s="122">
        <v>42.6</v>
      </c>
      <c r="M84" s="122">
        <v>3</v>
      </c>
    </row>
    <row r="85" spans="1:13" ht="15.75" customHeight="1" x14ac:dyDescent="0.25">
      <c r="A85" s="118">
        <v>84</v>
      </c>
      <c r="B85" s="118" t="s">
        <v>232</v>
      </c>
      <c r="C85" s="119">
        <v>27</v>
      </c>
      <c r="D85" s="119">
        <v>3</v>
      </c>
      <c r="E85" s="56">
        <v>3</v>
      </c>
      <c r="F85" s="119">
        <v>3</v>
      </c>
      <c r="G85" s="123">
        <v>1</v>
      </c>
      <c r="H85" s="123"/>
      <c r="I85" s="121">
        <v>0.48</v>
      </c>
      <c r="J85" s="121">
        <v>3.57</v>
      </c>
      <c r="K85" s="122">
        <v>19.2</v>
      </c>
      <c r="L85" s="122">
        <v>32.799999999999997</v>
      </c>
      <c r="M85" s="122">
        <v>6</v>
      </c>
    </row>
    <row r="86" spans="1:13" ht="15.75" customHeight="1" x14ac:dyDescent="0.25">
      <c r="A86" s="118">
        <v>85</v>
      </c>
      <c r="B86" s="118" t="s">
        <v>233</v>
      </c>
      <c r="C86" s="119">
        <v>71</v>
      </c>
      <c r="D86" s="123"/>
      <c r="E86" s="15"/>
      <c r="F86" s="119">
        <v>3</v>
      </c>
      <c r="G86" s="123">
        <v>0</v>
      </c>
      <c r="H86" s="121">
        <v>1.46</v>
      </c>
      <c r="I86" s="121">
        <v>0.39</v>
      </c>
      <c r="J86" s="121">
        <v>7.54</v>
      </c>
      <c r="K86" s="122">
        <v>19.2</v>
      </c>
      <c r="L86" s="122">
        <v>32.799999999999997</v>
      </c>
      <c r="M86" s="122">
        <v>6</v>
      </c>
    </row>
    <row r="87" spans="1:13" ht="15.75" customHeight="1" x14ac:dyDescent="0.25">
      <c r="A87" s="118">
        <v>86</v>
      </c>
      <c r="B87" s="118" t="s">
        <v>97</v>
      </c>
      <c r="C87" s="120">
        <v>542</v>
      </c>
      <c r="D87" s="123"/>
      <c r="E87" s="15"/>
      <c r="F87" s="119">
        <v>3</v>
      </c>
      <c r="G87" s="123">
        <v>0</v>
      </c>
      <c r="H87" s="121">
        <v>0.83699999999999997</v>
      </c>
      <c r="I87" s="121">
        <v>0.76</v>
      </c>
      <c r="J87" s="121">
        <v>5.13</v>
      </c>
      <c r="K87" s="122">
        <v>10.3</v>
      </c>
      <c r="L87" s="122">
        <v>24.9</v>
      </c>
      <c r="M87" s="122">
        <v>5</v>
      </c>
    </row>
    <row r="88" spans="1:13" ht="15.75" customHeight="1" x14ac:dyDescent="0.25">
      <c r="A88" s="118">
        <v>87</v>
      </c>
      <c r="B88" s="118" t="s">
        <v>234</v>
      </c>
      <c r="C88" s="120">
        <v>57</v>
      </c>
      <c r="D88" s="123"/>
      <c r="E88" s="15"/>
      <c r="F88" s="124">
        <v>3</v>
      </c>
      <c r="G88" s="123">
        <v>0</v>
      </c>
      <c r="H88" s="121">
        <v>0.73699999999999999</v>
      </c>
      <c r="I88" s="121">
        <v>0.25</v>
      </c>
      <c r="J88" s="121">
        <v>2.66</v>
      </c>
      <c r="K88" s="122">
        <v>19.2</v>
      </c>
      <c r="L88" s="122">
        <v>32.799999999999997</v>
      </c>
      <c r="M88" s="122">
        <v>5</v>
      </c>
    </row>
    <row r="89" spans="1:13" ht="15.75" customHeight="1" x14ac:dyDescent="0.25">
      <c r="A89" s="118">
        <v>88</v>
      </c>
      <c r="B89" s="118" t="s">
        <v>119</v>
      </c>
      <c r="C89" s="120">
        <v>14</v>
      </c>
      <c r="D89" s="119">
        <v>3</v>
      </c>
      <c r="E89" s="57">
        <v>3</v>
      </c>
      <c r="F89" s="119">
        <v>3</v>
      </c>
      <c r="G89" s="123">
        <v>1</v>
      </c>
      <c r="H89" s="123"/>
      <c r="I89" s="123"/>
      <c r="J89" s="121">
        <v>8.06</v>
      </c>
      <c r="K89" s="123"/>
      <c r="L89" s="123"/>
      <c r="M89" s="123"/>
    </row>
    <row r="90" spans="1:13" ht="15.75" customHeight="1" x14ac:dyDescent="0.25">
      <c r="A90" s="118">
        <v>89</v>
      </c>
      <c r="B90" s="118" t="s">
        <v>235</v>
      </c>
      <c r="C90" s="119">
        <v>810</v>
      </c>
      <c r="D90" s="120">
        <v>4</v>
      </c>
      <c r="E90" s="56">
        <v>4</v>
      </c>
      <c r="F90" s="119">
        <v>3</v>
      </c>
      <c r="G90" s="123">
        <v>1</v>
      </c>
      <c r="H90" s="121">
        <v>2.5710000000000002</v>
      </c>
      <c r="I90" s="121">
        <v>1.25</v>
      </c>
      <c r="J90" s="121">
        <v>7.11</v>
      </c>
      <c r="K90" s="122">
        <v>22.9</v>
      </c>
      <c r="L90" s="122">
        <v>26</v>
      </c>
      <c r="M90" s="122">
        <v>4</v>
      </c>
    </row>
    <row r="91" spans="1:13" ht="15.75" customHeight="1" x14ac:dyDescent="0.25">
      <c r="A91" s="118">
        <v>90</v>
      </c>
      <c r="B91" s="118" t="s">
        <v>121</v>
      </c>
      <c r="C91" s="120">
        <v>604</v>
      </c>
      <c r="D91" s="123"/>
      <c r="E91" s="15"/>
      <c r="F91" s="119">
        <v>3</v>
      </c>
      <c r="G91" s="123">
        <v>0</v>
      </c>
      <c r="H91" s="121">
        <v>0.69799999999999995</v>
      </c>
      <c r="I91" s="121">
        <v>1.02</v>
      </c>
      <c r="J91" s="121">
        <v>5.65</v>
      </c>
      <c r="K91" s="122">
        <v>27.4</v>
      </c>
      <c r="L91" s="122">
        <v>34.1</v>
      </c>
      <c r="M91" s="122">
        <v>5</v>
      </c>
    </row>
    <row r="92" spans="1:13" ht="15.75" customHeight="1" x14ac:dyDescent="0.25">
      <c r="A92" s="118">
        <v>91</v>
      </c>
      <c r="B92" s="118" t="s">
        <v>118</v>
      </c>
      <c r="C92" s="120">
        <v>820</v>
      </c>
      <c r="D92" s="120">
        <v>4</v>
      </c>
      <c r="E92" s="57">
        <v>4</v>
      </c>
      <c r="F92" s="119">
        <v>3</v>
      </c>
      <c r="G92" s="123">
        <v>1</v>
      </c>
      <c r="H92" s="121">
        <v>1.153</v>
      </c>
      <c r="I92" s="121">
        <v>1.44</v>
      </c>
      <c r="J92" s="121">
        <v>5.44</v>
      </c>
      <c r="K92" s="122">
        <v>26.3</v>
      </c>
      <c r="L92" s="122">
        <v>34.9</v>
      </c>
      <c r="M92" s="122">
        <v>3</v>
      </c>
    </row>
    <row r="93" spans="1:13" ht="15.75" customHeight="1" x14ac:dyDescent="0.25">
      <c r="A93" s="118">
        <v>92</v>
      </c>
      <c r="B93" s="118" t="s">
        <v>236</v>
      </c>
      <c r="C93" s="120">
        <v>43</v>
      </c>
      <c r="D93" s="119">
        <v>5</v>
      </c>
      <c r="E93" s="57">
        <v>5</v>
      </c>
      <c r="F93" s="119">
        <v>3</v>
      </c>
      <c r="G93" s="123">
        <v>1</v>
      </c>
      <c r="H93" s="121">
        <v>0.73799999999999999</v>
      </c>
      <c r="I93" s="121">
        <v>0.8</v>
      </c>
      <c r="J93" s="121">
        <v>4.7300000000000004</v>
      </c>
      <c r="K93" s="122">
        <v>19.2</v>
      </c>
      <c r="L93" s="122">
        <v>32.799999999999997</v>
      </c>
      <c r="M93" s="122">
        <v>5.5</v>
      </c>
    </row>
    <row r="94" spans="1:13" ht="15.75" customHeight="1" x14ac:dyDescent="0.25">
      <c r="A94" s="118">
        <v>93</v>
      </c>
      <c r="B94" s="118" t="s">
        <v>114</v>
      </c>
      <c r="C94" s="119">
        <v>126</v>
      </c>
      <c r="D94" s="123"/>
      <c r="E94" s="15"/>
      <c r="F94" s="119">
        <v>3</v>
      </c>
      <c r="G94" s="123">
        <v>0</v>
      </c>
      <c r="H94" s="121">
        <v>0.77600000000000002</v>
      </c>
      <c r="I94" s="121">
        <v>0.61</v>
      </c>
      <c r="J94" s="121">
        <v>3.02</v>
      </c>
      <c r="K94" s="122">
        <v>19.2</v>
      </c>
      <c r="L94" s="122">
        <v>32.799999999999997</v>
      </c>
      <c r="M94" s="122">
        <v>5</v>
      </c>
    </row>
    <row r="95" spans="1:13" ht="15.75" customHeight="1" x14ac:dyDescent="0.25">
      <c r="A95" s="118">
        <v>94</v>
      </c>
      <c r="B95" s="118" t="s">
        <v>237</v>
      </c>
      <c r="C95" s="119">
        <v>53</v>
      </c>
      <c r="D95" s="119">
        <v>4</v>
      </c>
      <c r="E95" s="56">
        <v>3</v>
      </c>
      <c r="F95" s="119">
        <v>3</v>
      </c>
      <c r="G95" s="123">
        <v>1</v>
      </c>
      <c r="H95" s="121">
        <v>0.88600000000000001</v>
      </c>
      <c r="I95" s="121">
        <v>0.59</v>
      </c>
      <c r="J95" s="121">
        <v>4.28</v>
      </c>
      <c r="K95" s="122">
        <v>19.2</v>
      </c>
      <c r="L95" s="122">
        <v>32.799999999999997</v>
      </c>
      <c r="M95" s="122">
        <v>5</v>
      </c>
    </row>
    <row r="96" spans="1:13" ht="15.75" customHeight="1" x14ac:dyDescent="0.25">
      <c r="A96" s="118">
        <v>95</v>
      </c>
      <c r="B96" s="118" t="s">
        <v>238</v>
      </c>
      <c r="C96" s="119">
        <v>140</v>
      </c>
      <c r="D96" s="123"/>
      <c r="E96" s="15"/>
      <c r="F96" s="119">
        <v>3</v>
      </c>
      <c r="G96" s="123">
        <v>0</v>
      </c>
      <c r="H96" s="121">
        <v>0.93600000000000005</v>
      </c>
      <c r="I96" s="121">
        <v>0.96</v>
      </c>
      <c r="J96" s="121">
        <v>3.93</v>
      </c>
      <c r="K96" s="122">
        <v>19.2</v>
      </c>
      <c r="L96" s="122">
        <v>32.799999999999997</v>
      </c>
      <c r="M96" s="122">
        <v>6</v>
      </c>
    </row>
    <row r="97" spans="1:13" ht="15.75" customHeight="1" x14ac:dyDescent="0.25">
      <c r="A97" s="118">
        <v>96</v>
      </c>
      <c r="B97" s="118" t="s">
        <v>239</v>
      </c>
      <c r="C97" s="119">
        <v>113</v>
      </c>
      <c r="D97" s="123"/>
      <c r="E97" s="15"/>
      <c r="F97" s="119">
        <v>3</v>
      </c>
      <c r="G97" s="123">
        <v>0</v>
      </c>
      <c r="H97" s="121">
        <v>1.1020000000000001</v>
      </c>
      <c r="I97" s="121">
        <v>0.69</v>
      </c>
      <c r="J97" s="121">
        <v>5.25</v>
      </c>
      <c r="K97" s="122">
        <v>19.2</v>
      </c>
      <c r="L97" s="122">
        <v>32.799999999999997</v>
      </c>
      <c r="M97" s="122">
        <v>7</v>
      </c>
    </row>
    <row r="98" spans="1:13" ht="15.75" customHeight="1" x14ac:dyDescent="0.25">
      <c r="A98" s="118">
        <v>97</v>
      </c>
      <c r="B98" s="118" t="s">
        <v>71</v>
      </c>
      <c r="C98" s="120">
        <v>437</v>
      </c>
      <c r="D98" s="123"/>
      <c r="E98" s="15"/>
      <c r="F98" s="119">
        <v>3</v>
      </c>
      <c r="G98" s="123">
        <v>0</v>
      </c>
      <c r="H98" s="121">
        <v>1.595</v>
      </c>
      <c r="I98" s="121">
        <v>1.89</v>
      </c>
      <c r="J98" s="121">
        <v>5.88</v>
      </c>
      <c r="K98" s="122">
        <v>14.9</v>
      </c>
      <c r="L98" s="122">
        <v>30.4</v>
      </c>
      <c r="M98" s="122">
        <v>3</v>
      </c>
    </row>
    <row r="99" spans="1:13" ht="15.75" customHeight="1" x14ac:dyDescent="0.25">
      <c r="A99" s="118">
        <v>98</v>
      </c>
      <c r="B99" s="118" t="s">
        <v>56</v>
      </c>
      <c r="C99" s="120">
        <v>569</v>
      </c>
      <c r="D99" s="120">
        <v>5</v>
      </c>
      <c r="E99" s="57">
        <v>5</v>
      </c>
      <c r="F99" s="119">
        <v>3</v>
      </c>
      <c r="G99" s="123">
        <v>1</v>
      </c>
      <c r="H99" s="121">
        <v>1.1040000000000001</v>
      </c>
      <c r="I99" s="121">
        <v>0.94</v>
      </c>
      <c r="J99" s="121">
        <v>3.9</v>
      </c>
      <c r="K99" s="122">
        <v>26.2</v>
      </c>
      <c r="L99" s="122">
        <v>26.2</v>
      </c>
      <c r="M99" s="122">
        <v>3</v>
      </c>
    </row>
    <row r="100" spans="1:13" ht="15.75" customHeight="1" x14ac:dyDescent="0.25">
      <c r="A100" s="118">
        <v>99</v>
      </c>
      <c r="B100" s="118" t="s">
        <v>240</v>
      </c>
      <c r="C100" s="119">
        <v>177</v>
      </c>
      <c r="D100" s="123"/>
      <c r="E100" s="15"/>
      <c r="F100" s="119">
        <v>3</v>
      </c>
      <c r="G100" s="123">
        <v>0</v>
      </c>
      <c r="H100" s="121">
        <v>0.88900000000000001</v>
      </c>
      <c r="I100" s="121">
        <v>0.59</v>
      </c>
      <c r="J100" s="121">
        <v>4.32</v>
      </c>
      <c r="K100" s="122">
        <v>19.2</v>
      </c>
      <c r="L100" s="122">
        <v>32.799999999999997</v>
      </c>
      <c r="M100" s="122">
        <v>4</v>
      </c>
    </row>
    <row r="101" spans="1:13" ht="15.75" customHeight="1" x14ac:dyDescent="0.25">
      <c r="A101" s="118">
        <v>100</v>
      </c>
      <c r="B101" s="118" t="s">
        <v>30</v>
      </c>
      <c r="C101" s="119">
        <v>325</v>
      </c>
      <c r="D101" s="123"/>
      <c r="E101" s="15"/>
      <c r="F101" s="119">
        <v>3</v>
      </c>
      <c r="G101" s="123">
        <v>0</v>
      </c>
      <c r="H101" s="121">
        <v>1.5</v>
      </c>
      <c r="I101" s="121">
        <v>2.23</v>
      </c>
      <c r="J101" s="121">
        <v>4.59</v>
      </c>
      <c r="K101" s="122">
        <v>13.8</v>
      </c>
      <c r="L101" s="122">
        <v>43.1</v>
      </c>
      <c r="M101" s="122">
        <v>6</v>
      </c>
    </row>
    <row r="102" spans="1:13" ht="15.75" customHeight="1" x14ac:dyDescent="0.25">
      <c r="A102" s="118">
        <v>101</v>
      </c>
      <c r="B102" s="118" t="s">
        <v>32</v>
      </c>
      <c r="C102" s="120">
        <v>395</v>
      </c>
      <c r="D102" s="120">
        <v>5</v>
      </c>
      <c r="E102" s="57">
        <v>5</v>
      </c>
      <c r="F102" s="119">
        <v>3</v>
      </c>
      <c r="G102" s="123">
        <v>1</v>
      </c>
      <c r="H102" s="121">
        <v>0.67300000000000004</v>
      </c>
      <c r="I102" s="121">
        <v>1.35</v>
      </c>
      <c r="J102" s="121">
        <v>3.61</v>
      </c>
      <c r="K102" s="122">
        <v>21.1</v>
      </c>
      <c r="L102" s="122">
        <v>26.9</v>
      </c>
      <c r="M102" s="122">
        <v>5</v>
      </c>
    </row>
    <row r="103" spans="1:13" ht="15.75" customHeight="1" x14ac:dyDescent="0.25">
      <c r="A103" s="118">
        <v>102</v>
      </c>
      <c r="B103" s="118" t="s">
        <v>63</v>
      </c>
      <c r="C103" s="119">
        <v>221</v>
      </c>
      <c r="D103" s="123"/>
      <c r="E103" s="15"/>
      <c r="F103" s="119">
        <v>3</v>
      </c>
      <c r="G103" s="123">
        <v>0</v>
      </c>
      <c r="H103" s="121">
        <v>1.4490000000000001</v>
      </c>
      <c r="I103" s="121">
        <v>0.62</v>
      </c>
      <c r="J103" s="121">
        <v>5.17</v>
      </c>
      <c r="K103" s="122">
        <v>19.2</v>
      </c>
      <c r="L103" s="122">
        <v>32.799999999999997</v>
      </c>
      <c r="M103" s="122">
        <v>5</v>
      </c>
    </row>
    <row r="104" spans="1:13" ht="15.75" customHeight="1" x14ac:dyDescent="0.25">
      <c r="A104" s="118">
        <v>103</v>
      </c>
      <c r="B104" s="118" t="s">
        <v>241</v>
      </c>
      <c r="C104" s="119">
        <v>167</v>
      </c>
      <c r="D104" s="123"/>
      <c r="E104" s="15"/>
      <c r="F104" s="119">
        <v>3</v>
      </c>
      <c r="G104" s="123">
        <v>0</v>
      </c>
      <c r="H104" s="121">
        <v>1.03</v>
      </c>
      <c r="I104" s="121">
        <v>0.51</v>
      </c>
      <c r="J104" s="121">
        <v>4.16</v>
      </c>
      <c r="K104" s="122">
        <v>19.2</v>
      </c>
      <c r="L104" s="122">
        <v>32.799999999999997</v>
      </c>
      <c r="M104" s="122">
        <v>6</v>
      </c>
    </row>
    <row r="105" spans="1:13" ht="15.75" customHeight="1" x14ac:dyDescent="0.25">
      <c r="A105" s="118">
        <v>104</v>
      </c>
      <c r="B105" s="118" t="s">
        <v>132</v>
      </c>
      <c r="C105" s="119">
        <v>545</v>
      </c>
      <c r="D105" s="120">
        <v>3</v>
      </c>
      <c r="E105" s="56">
        <v>4</v>
      </c>
      <c r="F105" s="119">
        <v>3</v>
      </c>
      <c r="G105" s="123">
        <v>1</v>
      </c>
      <c r="H105" s="121">
        <v>0.82699999999999996</v>
      </c>
      <c r="I105" s="121">
        <v>1.27</v>
      </c>
      <c r="J105" s="121">
        <v>7.28</v>
      </c>
      <c r="K105" s="122">
        <v>31.4</v>
      </c>
      <c r="L105" s="122">
        <v>33.5</v>
      </c>
      <c r="M105" s="122">
        <v>3</v>
      </c>
    </row>
    <row r="106" spans="1:13" ht="15.75" customHeight="1" x14ac:dyDescent="0.25">
      <c r="A106" s="118">
        <v>105</v>
      </c>
      <c r="B106" s="118" t="s">
        <v>242</v>
      </c>
      <c r="C106" s="120">
        <v>459</v>
      </c>
      <c r="D106" s="120">
        <v>2</v>
      </c>
      <c r="E106" s="57">
        <v>3</v>
      </c>
      <c r="F106" s="119">
        <v>3</v>
      </c>
      <c r="G106" s="123">
        <v>1</v>
      </c>
      <c r="H106" s="121">
        <v>0.88900000000000001</v>
      </c>
      <c r="I106" s="121">
        <v>0.85</v>
      </c>
      <c r="J106" s="121">
        <v>3.83</v>
      </c>
      <c r="K106" s="122">
        <v>12.7</v>
      </c>
      <c r="L106" s="122">
        <v>32</v>
      </c>
      <c r="M106" s="122">
        <v>4</v>
      </c>
    </row>
    <row r="107" spans="1:13" ht="15.75" customHeight="1" x14ac:dyDescent="0.25">
      <c r="A107" s="118">
        <v>106</v>
      </c>
      <c r="B107" s="118" t="s">
        <v>66</v>
      </c>
      <c r="C107" s="120">
        <v>309</v>
      </c>
      <c r="D107" s="123"/>
      <c r="E107" s="15"/>
      <c r="F107" s="119">
        <v>3</v>
      </c>
      <c r="G107" s="123">
        <v>0</v>
      </c>
      <c r="H107" s="121">
        <v>0.78900000000000003</v>
      </c>
      <c r="I107" s="121">
        <v>1.39</v>
      </c>
      <c r="J107" s="121">
        <v>6.04</v>
      </c>
      <c r="K107" s="122">
        <v>25</v>
      </c>
      <c r="L107" s="122">
        <v>33.1</v>
      </c>
      <c r="M107" s="122">
        <v>6</v>
      </c>
    </row>
    <row r="108" spans="1:13" ht="15.75" customHeight="1" x14ac:dyDescent="0.25">
      <c r="A108" s="118">
        <v>107</v>
      </c>
      <c r="B108" s="118" t="s">
        <v>74</v>
      </c>
      <c r="C108" s="120">
        <v>294</v>
      </c>
      <c r="D108" s="123"/>
      <c r="E108" s="15"/>
      <c r="F108" s="119">
        <v>3</v>
      </c>
      <c r="G108" s="123">
        <v>0</v>
      </c>
      <c r="H108" s="121">
        <v>0.68899999999999995</v>
      </c>
      <c r="I108" s="121">
        <v>0.86</v>
      </c>
      <c r="J108" s="121">
        <v>2.94</v>
      </c>
      <c r="K108" s="122">
        <v>18.7</v>
      </c>
      <c r="L108" s="122">
        <v>17.100000000000001</v>
      </c>
      <c r="M108" s="122">
        <v>5</v>
      </c>
    </row>
    <row r="109" spans="1:13" ht="15.75" customHeight="1" x14ac:dyDescent="0.25">
      <c r="A109" s="118">
        <v>108</v>
      </c>
      <c r="B109" s="118" t="s">
        <v>243</v>
      </c>
      <c r="C109" s="119">
        <v>168</v>
      </c>
      <c r="D109" s="119">
        <v>3</v>
      </c>
      <c r="E109" s="56">
        <v>3</v>
      </c>
      <c r="F109" s="119">
        <v>3</v>
      </c>
      <c r="G109" s="123">
        <v>1</v>
      </c>
      <c r="H109" s="121">
        <v>0.92400000000000004</v>
      </c>
      <c r="I109" s="121">
        <v>0.94</v>
      </c>
      <c r="J109" s="121">
        <v>4.28</v>
      </c>
      <c r="K109" s="122">
        <v>19.2</v>
      </c>
      <c r="L109" s="122">
        <v>32.799999999999997</v>
      </c>
      <c r="M109" s="122">
        <v>6</v>
      </c>
    </row>
    <row r="110" spans="1:13" ht="15.75" customHeight="1" x14ac:dyDescent="0.25">
      <c r="A110" s="118">
        <v>109</v>
      </c>
      <c r="B110" s="118" t="s">
        <v>102</v>
      </c>
      <c r="C110" s="119">
        <v>104</v>
      </c>
      <c r="D110" s="123"/>
      <c r="E110" s="15"/>
      <c r="F110" s="119">
        <v>3</v>
      </c>
      <c r="G110" s="123">
        <v>0</v>
      </c>
      <c r="H110" s="123"/>
      <c r="I110" s="121">
        <v>0.86</v>
      </c>
      <c r="J110" s="121">
        <v>4.3099999999999996</v>
      </c>
      <c r="K110" s="122">
        <v>19.2</v>
      </c>
      <c r="L110" s="122">
        <v>32.799999999999997</v>
      </c>
      <c r="M110" s="122">
        <v>6</v>
      </c>
    </row>
    <row r="111" spans="1:13" ht="15.75" customHeight="1" x14ac:dyDescent="0.25">
      <c r="A111" s="118">
        <v>110</v>
      </c>
      <c r="B111" s="118" t="s">
        <v>65</v>
      </c>
      <c r="C111" s="120">
        <v>217</v>
      </c>
      <c r="D111" s="123"/>
      <c r="E111" s="15"/>
      <c r="F111" s="119">
        <v>3</v>
      </c>
      <c r="G111" s="123">
        <v>0</v>
      </c>
      <c r="H111" s="121">
        <v>1.23</v>
      </c>
      <c r="I111" s="121">
        <v>0.83</v>
      </c>
      <c r="J111" s="121">
        <v>4.12</v>
      </c>
      <c r="K111" s="122">
        <v>19.2</v>
      </c>
      <c r="L111" s="122">
        <v>32.799999999999997</v>
      </c>
      <c r="M111" s="122">
        <v>5</v>
      </c>
    </row>
    <row r="112" spans="1:13" ht="15.75" customHeight="1" x14ac:dyDescent="0.25">
      <c r="A112" s="118">
        <v>111</v>
      </c>
      <c r="B112" s="118" t="s">
        <v>94</v>
      </c>
      <c r="C112" s="119">
        <v>80</v>
      </c>
      <c r="D112" s="119">
        <v>3</v>
      </c>
      <c r="E112" s="56">
        <v>4</v>
      </c>
      <c r="F112" s="119">
        <v>3</v>
      </c>
      <c r="G112" s="123">
        <v>1</v>
      </c>
      <c r="H112" s="121">
        <v>1.0649999999999999</v>
      </c>
      <c r="I112" s="121">
        <v>0.26</v>
      </c>
      <c r="J112" s="121">
        <v>4.51</v>
      </c>
      <c r="K112" s="122">
        <v>19.2</v>
      </c>
      <c r="L112" s="122">
        <v>32.799999999999997</v>
      </c>
      <c r="M112" s="122">
        <v>8</v>
      </c>
    </row>
    <row r="113" spans="1:13" ht="15.75" customHeight="1" x14ac:dyDescent="0.25">
      <c r="A113" s="118">
        <v>112</v>
      </c>
      <c r="B113" s="118" t="s">
        <v>129</v>
      </c>
      <c r="C113" s="119">
        <v>171</v>
      </c>
      <c r="D113" s="123"/>
      <c r="E113" s="15"/>
      <c r="F113" s="119">
        <v>3</v>
      </c>
      <c r="G113" s="123">
        <v>0</v>
      </c>
      <c r="H113" s="121">
        <v>0.68300000000000005</v>
      </c>
      <c r="I113" s="121">
        <v>1.76</v>
      </c>
      <c r="J113" s="121">
        <v>6.11</v>
      </c>
      <c r="K113" s="122">
        <v>14.3</v>
      </c>
      <c r="L113" s="122">
        <v>39</v>
      </c>
      <c r="M113" s="122">
        <v>5</v>
      </c>
    </row>
    <row r="114" spans="1:13" ht="15.75" customHeight="1" x14ac:dyDescent="0.25">
      <c r="A114" s="118">
        <v>113</v>
      </c>
      <c r="B114" s="118" t="s">
        <v>244</v>
      </c>
      <c r="C114" s="119">
        <v>9</v>
      </c>
      <c r="D114" s="119">
        <v>4</v>
      </c>
      <c r="E114" s="56">
        <v>4</v>
      </c>
      <c r="F114" s="119">
        <v>3</v>
      </c>
      <c r="G114" s="123">
        <v>1</v>
      </c>
      <c r="H114" s="123"/>
      <c r="I114" s="123"/>
      <c r="J114" s="121">
        <v>3.77</v>
      </c>
      <c r="K114" s="123"/>
      <c r="L114" s="123"/>
      <c r="M114" s="123"/>
    </row>
    <row r="115" spans="1:13" ht="15.75" customHeight="1" x14ac:dyDescent="0.25">
      <c r="A115" s="118">
        <v>114</v>
      </c>
      <c r="B115" s="118" t="s">
        <v>126</v>
      </c>
      <c r="C115" s="119">
        <v>114</v>
      </c>
      <c r="D115" s="123"/>
      <c r="E115" s="15"/>
      <c r="F115" s="119">
        <v>3</v>
      </c>
      <c r="G115" s="123">
        <v>0</v>
      </c>
      <c r="H115" s="121">
        <v>1.2749999999999999</v>
      </c>
      <c r="I115" s="121">
        <v>0.34</v>
      </c>
      <c r="J115" s="121">
        <v>7.25</v>
      </c>
      <c r="K115" s="122">
        <v>19.2</v>
      </c>
      <c r="L115" s="122">
        <v>32.799999999999997</v>
      </c>
      <c r="M115" s="122">
        <v>8</v>
      </c>
    </row>
    <row r="116" spans="1:13" ht="15.75" customHeight="1" x14ac:dyDescent="0.25">
      <c r="A116" s="125">
        <v>115</v>
      </c>
      <c r="B116" s="118" t="s">
        <v>34</v>
      </c>
      <c r="C116" s="119">
        <v>415</v>
      </c>
      <c r="D116" s="119">
        <v>5</v>
      </c>
      <c r="E116" s="56">
        <v>4</v>
      </c>
      <c r="F116" s="119">
        <v>3</v>
      </c>
      <c r="G116" s="123">
        <v>1</v>
      </c>
      <c r="H116" s="121">
        <v>0.879</v>
      </c>
      <c r="I116" s="121">
        <v>0.56000000000000005</v>
      </c>
      <c r="J116" s="121">
        <v>4.08</v>
      </c>
      <c r="K116" s="122">
        <v>19.3</v>
      </c>
      <c r="L116" s="122">
        <v>21.3</v>
      </c>
      <c r="M116" s="122">
        <v>6</v>
      </c>
    </row>
    <row r="117" spans="1:13" ht="15.75" customHeight="1" x14ac:dyDescent="0.25">
      <c r="A117" s="126">
        <v>116</v>
      </c>
      <c r="B117" s="118" t="s">
        <v>36</v>
      </c>
      <c r="C117" s="119">
        <v>422</v>
      </c>
      <c r="D117" s="120">
        <v>5</v>
      </c>
      <c r="E117" s="56">
        <v>3</v>
      </c>
      <c r="F117" s="119">
        <v>3</v>
      </c>
      <c r="G117" s="123">
        <v>1</v>
      </c>
      <c r="H117" s="121">
        <v>0.88500000000000001</v>
      </c>
      <c r="I117" s="121">
        <v>0.96</v>
      </c>
      <c r="J117" s="121">
        <v>6.26</v>
      </c>
      <c r="K117" s="122">
        <v>18.399999999999999</v>
      </c>
      <c r="L117" s="122">
        <v>30.3</v>
      </c>
      <c r="M117" s="122">
        <v>4</v>
      </c>
    </row>
    <row r="118" spans="1:13" ht="15.75" customHeight="1" x14ac:dyDescent="0.25">
      <c r="A118" s="126">
        <v>117</v>
      </c>
      <c r="B118" s="118" t="s">
        <v>245</v>
      </c>
      <c r="C118" s="119">
        <v>97</v>
      </c>
      <c r="D118" s="123"/>
      <c r="E118" s="15"/>
      <c r="F118" s="119">
        <v>3</v>
      </c>
      <c r="G118" s="123">
        <v>0</v>
      </c>
      <c r="H118" s="121">
        <v>1.3620000000000001</v>
      </c>
      <c r="I118" s="121">
        <v>0.33</v>
      </c>
      <c r="J118" s="121">
        <v>4.92</v>
      </c>
      <c r="K118" s="122">
        <v>19.2</v>
      </c>
      <c r="L118" s="122">
        <v>32.799999999999997</v>
      </c>
      <c r="M118" s="122">
        <v>6</v>
      </c>
    </row>
    <row r="119" spans="1:13" ht="15.75" customHeight="1" x14ac:dyDescent="0.25">
      <c r="A119" s="126">
        <v>118</v>
      </c>
      <c r="B119" s="118" t="s">
        <v>75</v>
      </c>
      <c r="C119" s="119">
        <v>133</v>
      </c>
      <c r="D119" s="119">
        <v>2</v>
      </c>
      <c r="E119" s="56">
        <v>4</v>
      </c>
      <c r="F119" s="119">
        <v>3</v>
      </c>
      <c r="G119" s="123">
        <v>1</v>
      </c>
      <c r="H119" s="121">
        <v>0.72</v>
      </c>
      <c r="I119" s="121">
        <v>0.37</v>
      </c>
      <c r="J119" s="121">
        <v>5.65</v>
      </c>
      <c r="K119" s="122">
        <v>19.2</v>
      </c>
      <c r="L119" s="122">
        <v>32.799999999999997</v>
      </c>
      <c r="M119" s="122">
        <v>4</v>
      </c>
    </row>
    <row r="120" spans="1:13" ht="15.75" customHeight="1" x14ac:dyDescent="0.25">
      <c r="A120" s="126">
        <v>119</v>
      </c>
      <c r="B120" s="118" t="s">
        <v>95</v>
      </c>
      <c r="C120" s="119">
        <v>270</v>
      </c>
      <c r="D120" s="120">
        <v>4</v>
      </c>
      <c r="E120" s="56">
        <v>4</v>
      </c>
      <c r="F120" s="119">
        <v>3</v>
      </c>
      <c r="G120" s="123">
        <v>1</v>
      </c>
      <c r="H120" s="121">
        <v>0.74299999999999999</v>
      </c>
      <c r="I120" s="121">
        <v>0.5</v>
      </c>
      <c r="J120" s="121">
        <v>4.92</v>
      </c>
      <c r="K120" s="122">
        <v>20</v>
      </c>
      <c r="L120" s="122">
        <v>30</v>
      </c>
      <c r="M120" s="122">
        <v>3.5</v>
      </c>
    </row>
    <row r="121" spans="1:13" ht="15.75" customHeight="1" x14ac:dyDescent="0.25">
      <c r="A121" s="126">
        <v>120</v>
      </c>
      <c r="B121" s="118" t="s">
        <v>246</v>
      </c>
      <c r="C121" s="120">
        <v>76</v>
      </c>
      <c r="D121" s="123"/>
      <c r="E121" s="15"/>
      <c r="F121" s="119">
        <v>3</v>
      </c>
      <c r="G121" s="123">
        <v>0</v>
      </c>
      <c r="H121" s="121">
        <v>1.2689999999999999</v>
      </c>
      <c r="I121" s="121">
        <v>0.78</v>
      </c>
      <c r="J121" s="121">
        <v>2.2200000000000002</v>
      </c>
      <c r="K121" s="122">
        <v>19.2</v>
      </c>
      <c r="L121" s="122">
        <v>32.799999999999997</v>
      </c>
      <c r="M121" s="122">
        <v>3</v>
      </c>
    </row>
    <row r="122" spans="1:13" ht="15.75" customHeight="1" x14ac:dyDescent="0.25">
      <c r="A122" s="126">
        <v>121</v>
      </c>
      <c r="B122" s="118" t="s">
        <v>33</v>
      </c>
      <c r="C122" s="119">
        <v>1061</v>
      </c>
      <c r="D122" s="120">
        <v>5</v>
      </c>
      <c r="E122" s="56">
        <v>5</v>
      </c>
      <c r="F122" s="119">
        <v>3</v>
      </c>
      <c r="G122" s="123">
        <v>1</v>
      </c>
      <c r="H122" s="121">
        <v>1.4139999999999999</v>
      </c>
      <c r="I122" s="121">
        <v>1.4</v>
      </c>
      <c r="J122" s="121">
        <v>3.09</v>
      </c>
      <c r="K122" s="122">
        <v>11</v>
      </c>
      <c r="L122" s="122">
        <v>32.700000000000003</v>
      </c>
      <c r="M122" s="122">
        <v>3</v>
      </c>
    </row>
    <row r="123" spans="1:13" ht="15.75" customHeight="1" x14ac:dyDescent="0.25">
      <c r="A123" s="126">
        <v>122</v>
      </c>
      <c r="B123" s="118" t="s">
        <v>247</v>
      </c>
      <c r="C123" s="120">
        <v>56</v>
      </c>
      <c r="D123" s="119">
        <v>4</v>
      </c>
      <c r="E123" s="57">
        <v>4</v>
      </c>
      <c r="F123" s="119">
        <v>2</v>
      </c>
      <c r="G123" s="123">
        <v>1</v>
      </c>
      <c r="H123" s="121">
        <v>1.355</v>
      </c>
      <c r="I123" s="121">
        <v>0.31</v>
      </c>
      <c r="J123" s="121">
        <v>5.03</v>
      </c>
      <c r="K123" s="122">
        <v>19.2</v>
      </c>
      <c r="L123" s="122">
        <v>32.799999999999997</v>
      </c>
      <c r="M123" s="122">
        <v>9</v>
      </c>
    </row>
    <row r="124" spans="1:13" ht="15.75" customHeight="1" x14ac:dyDescent="0.25">
      <c r="A124" s="126">
        <v>123</v>
      </c>
      <c r="B124" s="118" t="s">
        <v>134</v>
      </c>
      <c r="C124" s="120">
        <v>293</v>
      </c>
      <c r="D124" s="123"/>
      <c r="E124" s="15"/>
      <c r="F124" s="119">
        <v>2</v>
      </c>
      <c r="G124" s="123">
        <v>0</v>
      </c>
      <c r="H124" s="121">
        <v>0.91500000000000004</v>
      </c>
      <c r="I124" s="121">
        <v>0.94</v>
      </c>
      <c r="J124" s="121">
        <v>5.01</v>
      </c>
      <c r="K124" s="122">
        <v>22.2</v>
      </c>
      <c r="L124" s="122">
        <v>29.9</v>
      </c>
      <c r="M124" s="122">
        <v>5</v>
      </c>
    </row>
    <row r="125" spans="1:13" ht="15.75" customHeight="1" x14ac:dyDescent="0.25">
      <c r="A125" s="126">
        <v>124</v>
      </c>
      <c r="B125" s="118" t="s">
        <v>248</v>
      </c>
      <c r="C125" s="119">
        <v>179</v>
      </c>
      <c r="D125" s="119">
        <v>2</v>
      </c>
      <c r="E125" s="56">
        <v>3</v>
      </c>
      <c r="F125" s="119">
        <v>2</v>
      </c>
      <c r="G125" s="123">
        <v>1</v>
      </c>
      <c r="H125" s="121">
        <v>1.353</v>
      </c>
      <c r="I125" s="121">
        <v>0.99</v>
      </c>
      <c r="J125" s="121">
        <v>5.51</v>
      </c>
      <c r="K125" s="122">
        <v>19.2</v>
      </c>
      <c r="L125" s="122">
        <v>32.799999999999997</v>
      </c>
      <c r="M125" s="122">
        <v>3</v>
      </c>
    </row>
    <row r="126" spans="1:13" ht="15.75" customHeight="1" x14ac:dyDescent="0.25">
      <c r="A126" s="126">
        <v>125</v>
      </c>
      <c r="B126" s="118" t="s">
        <v>58</v>
      </c>
      <c r="C126" s="120">
        <v>485</v>
      </c>
      <c r="D126" s="120">
        <v>4</v>
      </c>
      <c r="E126" s="57">
        <v>3</v>
      </c>
      <c r="F126" s="119">
        <v>2</v>
      </c>
      <c r="G126" s="123">
        <v>1</v>
      </c>
      <c r="H126" s="121">
        <v>1.5469999999999999</v>
      </c>
      <c r="I126" s="121">
        <v>1.89</v>
      </c>
      <c r="J126" s="121">
        <v>5.27</v>
      </c>
      <c r="K126" s="122">
        <v>11</v>
      </c>
      <c r="L126" s="122">
        <v>43.6</v>
      </c>
      <c r="M126" s="122">
        <v>5</v>
      </c>
    </row>
    <row r="127" spans="1:13" ht="15.75" customHeight="1" x14ac:dyDescent="0.25">
      <c r="A127" s="126">
        <v>126</v>
      </c>
      <c r="B127" s="118" t="s">
        <v>249</v>
      </c>
      <c r="C127" s="119">
        <v>223</v>
      </c>
      <c r="D127" s="120">
        <v>4</v>
      </c>
      <c r="E127" s="56">
        <v>3</v>
      </c>
      <c r="F127" s="119">
        <v>2</v>
      </c>
      <c r="G127" s="123">
        <v>1</v>
      </c>
      <c r="H127" s="121">
        <v>0.82599999999999996</v>
      </c>
      <c r="I127" s="121">
        <v>0.47</v>
      </c>
      <c r="J127" s="121">
        <v>5.65</v>
      </c>
      <c r="K127" s="122">
        <v>19</v>
      </c>
      <c r="L127" s="122">
        <v>32</v>
      </c>
      <c r="M127" s="122">
        <v>5</v>
      </c>
    </row>
    <row r="128" spans="1:13" ht="15.75" customHeight="1" x14ac:dyDescent="0.25">
      <c r="A128" s="126">
        <v>127</v>
      </c>
      <c r="B128" s="118" t="s">
        <v>123</v>
      </c>
      <c r="C128" s="119">
        <v>651</v>
      </c>
      <c r="D128" s="123"/>
      <c r="E128" s="15"/>
      <c r="F128" s="119">
        <v>2</v>
      </c>
      <c r="G128" s="123">
        <v>0</v>
      </c>
      <c r="H128" s="121">
        <v>1.504</v>
      </c>
      <c r="I128" s="121">
        <v>1.47</v>
      </c>
      <c r="J128" s="121">
        <v>5.32</v>
      </c>
      <c r="K128" s="122">
        <v>26</v>
      </c>
      <c r="L128" s="122">
        <v>38.5</v>
      </c>
      <c r="M128" s="122">
        <v>5</v>
      </c>
    </row>
    <row r="129" spans="1:13" ht="15.75" customHeight="1" x14ac:dyDescent="0.25">
      <c r="A129" s="126">
        <v>128</v>
      </c>
      <c r="B129" s="118" t="s">
        <v>250</v>
      </c>
      <c r="C129" s="119">
        <v>32</v>
      </c>
      <c r="D129" s="119">
        <v>2</v>
      </c>
      <c r="E129" s="56">
        <v>3</v>
      </c>
      <c r="F129" s="119">
        <v>2</v>
      </c>
      <c r="G129" s="123">
        <v>1</v>
      </c>
      <c r="H129" s="121">
        <v>2.2909999999999999</v>
      </c>
      <c r="I129" s="121">
        <v>0.6</v>
      </c>
      <c r="J129" s="121">
        <v>4.96</v>
      </c>
      <c r="K129" s="122">
        <v>19.2</v>
      </c>
      <c r="L129" s="122">
        <v>32.799999999999997</v>
      </c>
      <c r="M129" s="122">
        <v>4</v>
      </c>
    </row>
    <row r="130" spans="1:13" ht="15.75" customHeight="1" x14ac:dyDescent="0.25">
      <c r="A130" s="126">
        <v>129</v>
      </c>
      <c r="B130" s="118" t="s">
        <v>251</v>
      </c>
      <c r="C130" s="120">
        <v>389</v>
      </c>
      <c r="D130" s="127">
        <v>4</v>
      </c>
      <c r="E130" s="57">
        <v>4</v>
      </c>
      <c r="F130" s="119">
        <v>2</v>
      </c>
      <c r="G130" s="123">
        <v>1</v>
      </c>
      <c r="H130" s="121">
        <v>0.90500000000000003</v>
      </c>
      <c r="I130" s="121">
        <v>1.42</v>
      </c>
      <c r="J130" s="121">
        <v>4.4800000000000004</v>
      </c>
      <c r="K130" s="122">
        <v>6.4</v>
      </c>
      <c r="L130" s="122">
        <v>42.7</v>
      </c>
      <c r="M130" s="122">
        <v>6</v>
      </c>
    </row>
    <row r="131" spans="1:13" ht="15.75" customHeight="1" x14ac:dyDescent="0.25">
      <c r="A131" s="126">
        <v>130</v>
      </c>
      <c r="B131" s="118" t="s">
        <v>125</v>
      </c>
      <c r="C131" s="120">
        <v>672</v>
      </c>
      <c r="D131" s="120">
        <v>2</v>
      </c>
      <c r="E131" s="57">
        <v>3</v>
      </c>
      <c r="F131" s="119">
        <v>2</v>
      </c>
      <c r="G131" s="123">
        <v>1</v>
      </c>
      <c r="H131" s="121">
        <v>0.78500000000000003</v>
      </c>
      <c r="I131" s="121">
        <v>1.19</v>
      </c>
      <c r="J131" s="121">
        <v>5.91</v>
      </c>
      <c r="K131" s="122">
        <v>9.6999999999999993</v>
      </c>
      <c r="L131" s="122">
        <v>34.799999999999997</v>
      </c>
      <c r="M131" s="122">
        <v>5</v>
      </c>
    </row>
    <row r="132" spans="1:13" ht="15.75" customHeight="1" x14ac:dyDescent="0.25">
      <c r="A132" s="126">
        <v>131</v>
      </c>
      <c r="B132" s="118" t="s">
        <v>127</v>
      </c>
      <c r="C132" s="120">
        <v>708</v>
      </c>
      <c r="D132" s="123"/>
      <c r="E132" s="15"/>
      <c r="F132" s="119">
        <v>2</v>
      </c>
      <c r="G132" s="123">
        <v>0</v>
      </c>
      <c r="H132" s="121">
        <v>1.18</v>
      </c>
      <c r="I132" s="121">
        <v>2.02</v>
      </c>
      <c r="J132" s="121">
        <v>4.9800000000000004</v>
      </c>
      <c r="K132" s="122">
        <v>17.399999999999999</v>
      </c>
      <c r="L132" s="122">
        <v>34.799999999999997</v>
      </c>
      <c r="M132" s="122">
        <v>6</v>
      </c>
    </row>
    <row r="133" spans="1:13" ht="15.75" customHeight="1" x14ac:dyDescent="0.25">
      <c r="A133" s="126">
        <v>132</v>
      </c>
      <c r="B133" s="118" t="s">
        <v>252</v>
      </c>
      <c r="C133" s="119">
        <v>91</v>
      </c>
      <c r="D133" s="119">
        <v>5</v>
      </c>
      <c r="E133" s="56">
        <v>5</v>
      </c>
      <c r="F133" s="119">
        <v>2</v>
      </c>
      <c r="G133" s="123">
        <v>1</v>
      </c>
      <c r="H133" s="121">
        <v>1.631</v>
      </c>
      <c r="I133" s="121">
        <v>1.31</v>
      </c>
      <c r="J133" s="121">
        <v>5.32</v>
      </c>
      <c r="K133" s="122">
        <v>19.2</v>
      </c>
      <c r="L133" s="122">
        <v>32.799999999999997</v>
      </c>
      <c r="M133" s="122">
        <v>5</v>
      </c>
    </row>
    <row r="134" spans="1:13" ht="15.75" customHeight="1" x14ac:dyDescent="0.25">
      <c r="A134" s="126">
        <v>133</v>
      </c>
      <c r="B134" s="118" t="s">
        <v>253</v>
      </c>
      <c r="C134" s="119">
        <v>20</v>
      </c>
      <c r="D134" s="123"/>
      <c r="E134" s="15"/>
      <c r="F134" s="119">
        <v>2</v>
      </c>
      <c r="G134" s="123">
        <v>0</v>
      </c>
      <c r="H134" s="121">
        <v>3.25</v>
      </c>
      <c r="I134" s="121">
        <v>0.18</v>
      </c>
      <c r="J134" s="121">
        <v>1.45</v>
      </c>
      <c r="K134" s="122">
        <v>19.2</v>
      </c>
      <c r="L134" s="122">
        <v>32.799999999999997</v>
      </c>
      <c r="M134" s="122">
        <v>6</v>
      </c>
    </row>
    <row r="135" spans="1:13" ht="15.75" customHeight="1" x14ac:dyDescent="0.25">
      <c r="A135" s="126">
        <v>134</v>
      </c>
      <c r="B135" s="118" t="s">
        <v>68</v>
      </c>
      <c r="C135" s="120">
        <v>438</v>
      </c>
      <c r="D135" s="120">
        <v>5</v>
      </c>
      <c r="E135" s="57">
        <v>5</v>
      </c>
      <c r="F135" s="119">
        <v>2</v>
      </c>
      <c r="G135" s="123">
        <v>1</v>
      </c>
      <c r="H135" s="121">
        <v>1.506</v>
      </c>
      <c r="I135" s="121">
        <v>0.88</v>
      </c>
      <c r="J135" s="121">
        <v>5.58</v>
      </c>
      <c r="K135" s="122">
        <v>30.8</v>
      </c>
      <c r="L135" s="122">
        <v>26.6</v>
      </c>
      <c r="M135" s="122">
        <v>4</v>
      </c>
    </row>
    <row r="136" spans="1:13" ht="15.75" customHeight="1" x14ac:dyDescent="0.25">
      <c r="A136" s="126">
        <v>135</v>
      </c>
      <c r="B136" s="118" t="s">
        <v>254</v>
      </c>
      <c r="C136" s="119">
        <v>100</v>
      </c>
      <c r="D136" s="119">
        <v>2</v>
      </c>
      <c r="E136" s="56">
        <v>3</v>
      </c>
      <c r="F136" s="119">
        <v>2</v>
      </c>
      <c r="G136" s="123">
        <v>1</v>
      </c>
      <c r="H136" s="121">
        <v>0.81799999999999995</v>
      </c>
      <c r="I136" s="121">
        <v>1.01</v>
      </c>
      <c r="J136" s="121">
        <v>5.96</v>
      </c>
      <c r="K136" s="122">
        <v>19.2</v>
      </c>
      <c r="L136" s="122">
        <v>32.799999999999997</v>
      </c>
      <c r="M136" s="122">
        <v>8</v>
      </c>
    </row>
    <row r="137" spans="1:13" ht="15.75" customHeight="1" x14ac:dyDescent="0.25">
      <c r="A137" s="126">
        <v>136</v>
      </c>
      <c r="B137" s="118" t="s">
        <v>55</v>
      </c>
      <c r="C137" s="120">
        <v>237</v>
      </c>
      <c r="D137" s="119">
        <v>3</v>
      </c>
      <c r="E137" s="57">
        <v>4</v>
      </c>
      <c r="F137" s="119">
        <v>2</v>
      </c>
      <c r="G137" s="123">
        <v>1</v>
      </c>
      <c r="H137" s="121">
        <v>1.1359999999999999</v>
      </c>
      <c r="I137" s="121">
        <v>0.57999999999999996</v>
      </c>
      <c r="J137" s="121">
        <v>4.68</v>
      </c>
      <c r="K137" s="122">
        <v>19.2</v>
      </c>
      <c r="L137" s="122">
        <v>32.799999999999997</v>
      </c>
      <c r="M137" s="122">
        <v>5</v>
      </c>
    </row>
    <row r="138" spans="1:13" ht="15.75" customHeight="1" x14ac:dyDescent="0.25">
      <c r="A138" s="126">
        <v>137</v>
      </c>
      <c r="B138" s="118" t="s">
        <v>79</v>
      </c>
      <c r="C138" s="119">
        <v>470</v>
      </c>
      <c r="D138" s="120">
        <v>5</v>
      </c>
      <c r="E138" s="56">
        <v>5</v>
      </c>
      <c r="F138" s="119">
        <v>2</v>
      </c>
      <c r="G138" s="123">
        <v>1</v>
      </c>
      <c r="H138" s="121">
        <v>0.82799999999999996</v>
      </c>
      <c r="I138" s="121">
        <v>0.69</v>
      </c>
      <c r="J138" s="121">
        <v>6.96</v>
      </c>
      <c r="K138" s="122">
        <v>30</v>
      </c>
      <c r="L138" s="122">
        <v>25</v>
      </c>
      <c r="M138" s="122">
        <v>5</v>
      </c>
    </row>
    <row r="139" spans="1:13" ht="15.75" customHeight="1" x14ac:dyDescent="0.25">
      <c r="A139" s="126">
        <v>138</v>
      </c>
      <c r="B139" s="118" t="s">
        <v>85</v>
      </c>
      <c r="C139" s="119">
        <v>215</v>
      </c>
      <c r="D139" s="123"/>
      <c r="E139" s="15"/>
      <c r="F139" s="119">
        <v>2</v>
      </c>
      <c r="G139" s="123">
        <v>0</v>
      </c>
      <c r="H139" s="121">
        <v>0.65600000000000003</v>
      </c>
      <c r="I139" s="121">
        <v>1.0900000000000001</v>
      </c>
      <c r="J139" s="121">
        <v>5.67</v>
      </c>
      <c r="K139" s="122">
        <v>19.2</v>
      </c>
      <c r="L139" s="122">
        <v>32.799999999999997</v>
      </c>
      <c r="M139" s="122">
        <v>4.5</v>
      </c>
    </row>
    <row r="140" spans="1:13" ht="15.75" customHeight="1" x14ac:dyDescent="0.25">
      <c r="A140" s="126">
        <v>139</v>
      </c>
      <c r="B140" s="118" t="s">
        <v>57</v>
      </c>
      <c r="C140" s="119">
        <v>992</v>
      </c>
      <c r="D140" s="123"/>
      <c r="E140" s="15"/>
      <c r="F140" s="119">
        <v>2</v>
      </c>
      <c r="G140" s="123">
        <v>0</v>
      </c>
      <c r="H140" s="121">
        <v>0.63200000000000001</v>
      </c>
      <c r="I140" s="121">
        <v>1.75</v>
      </c>
      <c r="J140" s="121">
        <v>5.09</v>
      </c>
      <c r="K140" s="122">
        <v>15.6</v>
      </c>
      <c r="L140" s="122">
        <v>29.1</v>
      </c>
      <c r="M140" s="122">
        <v>4</v>
      </c>
    </row>
    <row r="141" spans="1:13" ht="15.75" customHeight="1" x14ac:dyDescent="0.25">
      <c r="A141" s="126">
        <v>140</v>
      </c>
      <c r="B141" s="118" t="s">
        <v>255</v>
      </c>
      <c r="C141" s="119">
        <v>163</v>
      </c>
      <c r="D141" s="119">
        <v>3</v>
      </c>
      <c r="E141" s="56">
        <v>3</v>
      </c>
      <c r="F141" s="119">
        <v>2</v>
      </c>
      <c r="G141" s="123">
        <v>1</v>
      </c>
      <c r="H141" s="121">
        <v>1.7170000000000001</v>
      </c>
      <c r="I141" s="121">
        <v>0.97</v>
      </c>
      <c r="J141" s="121">
        <v>4.95</v>
      </c>
      <c r="K141" s="122">
        <v>19.2</v>
      </c>
      <c r="L141" s="122">
        <v>32.799999999999997</v>
      </c>
      <c r="M141" s="122">
        <v>4</v>
      </c>
    </row>
    <row r="142" spans="1:13" ht="15.75" customHeight="1" x14ac:dyDescent="0.25">
      <c r="A142" s="126">
        <v>141</v>
      </c>
      <c r="B142" s="118" t="s">
        <v>128</v>
      </c>
      <c r="C142" s="119">
        <v>126</v>
      </c>
      <c r="D142" s="119">
        <v>5</v>
      </c>
      <c r="E142" s="56">
        <v>4</v>
      </c>
      <c r="F142" s="119">
        <v>2</v>
      </c>
      <c r="G142" s="123">
        <v>1</v>
      </c>
      <c r="H142" s="121">
        <v>0.68799999999999994</v>
      </c>
      <c r="I142" s="121">
        <v>0.67</v>
      </c>
      <c r="J142" s="121">
        <v>5.6</v>
      </c>
      <c r="K142" s="122">
        <v>19.2</v>
      </c>
      <c r="L142" s="122">
        <v>32.799999999999997</v>
      </c>
      <c r="M142" s="122">
        <v>5</v>
      </c>
    </row>
    <row r="143" spans="1:13" ht="15.75" customHeight="1" x14ac:dyDescent="0.25">
      <c r="A143" s="126">
        <v>142</v>
      </c>
      <c r="B143" s="118" t="s">
        <v>256</v>
      </c>
      <c r="C143" s="119">
        <v>65</v>
      </c>
      <c r="D143" s="119">
        <v>4</v>
      </c>
      <c r="E143" s="56">
        <v>3</v>
      </c>
      <c r="F143" s="119">
        <v>2</v>
      </c>
      <c r="G143" s="123">
        <v>1</v>
      </c>
      <c r="H143" s="121">
        <v>2.4289999999999998</v>
      </c>
      <c r="I143" s="121">
        <v>0.46</v>
      </c>
      <c r="J143" s="121">
        <v>3.63</v>
      </c>
      <c r="K143" s="122">
        <v>19.2</v>
      </c>
      <c r="L143" s="122">
        <v>32.799999999999997</v>
      </c>
      <c r="M143" s="122">
        <v>5</v>
      </c>
    </row>
    <row r="144" spans="1:13" ht="15.75" customHeight="1" x14ac:dyDescent="0.25">
      <c r="A144" s="126">
        <v>143</v>
      </c>
      <c r="B144" s="118" t="s">
        <v>257</v>
      </c>
      <c r="C144" s="120">
        <v>634</v>
      </c>
      <c r="D144" s="120">
        <v>5</v>
      </c>
      <c r="E144" s="57">
        <v>5</v>
      </c>
      <c r="F144" s="119">
        <v>2</v>
      </c>
      <c r="G144" s="123">
        <v>1</v>
      </c>
      <c r="H144" s="121">
        <v>0.87</v>
      </c>
      <c r="I144" s="121">
        <v>1.79</v>
      </c>
      <c r="J144" s="121">
        <v>5.48</v>
      </c>
      <c r="K144" s="122">
        <v>7.5</v>
      </c>
      <c r="L144" s="122">
        <v>39.700000000000003</v>
      </c>
      <c r="M144" s="122">
        <v>4</v>
      </c>
    </row>
    <row r="145" spans="1:13" ht="15.75" customHeight="1" x14ac:dyDescent="0.25">
      <c r="A145" s="126">
        <v>144</v>
      </c>
      <c r="B145" s="118" t="s">
        <v>258</v>
      </c>
      <c r="C145" s="119">
        <v>92</v>
      </c>
      <c r="D145" s="123"/>
      <c r="E145" s="15"/>
      <c r="F145" s="119">
        <v>2</v>
      </c>
      <c r="G145" s="123">
        <v>0</v>
      </c>
      <c r="H145" s="121">
        <v>1.41</v>
      </c>
      <c r="I145" s="121">
        <v>0.69</v>
      </c>
      <c r="J145" s="121">
        <v>1.65</v>
      </c>
      <c r="K145" s="122">
        <v>19.2</v>
      </c>
      <c r="L145" s="122">
        <v>32.799999999999997</v>
      </c>
      <c r="M145" s="122">
        <v>7</v>
      </c>
    </row>
    <row r="146" spans="1:13" ht="15.75" customHeight="1" x14ac:dyDescent="0.25">
      <c r="A146" s="126">
        <v>145</v>
      </c>
      <c r="B146" s="118" t="s">
        <v>99</v>
      </c>
      <c r="C146" s="119">
        <v>394</v>
      </c>
      <c r="D146" s="120">
        <v>4</v>
      </c>
      <c r="E146" s="56">
        <v>4</v>
      </c>
      <c r="F146" s="119">
        <v>2</v>
      </c>
      <c r="G146" s="123">
        <v>1</v>
      </c>
      <c r="H146" s="121">
        <v>0.70799999999999996</v>
      </c>
      <c r="I146" s="121">
        <v>0.98</v>
      </c>
      <c r="J146" s="121">
        <v>6.16</v>
      </c>
      <c r="K146" s="122">
        <v>19.5</v>
      </c>
      <c r="L146" s="122">
        <v>20.7</v>
      </c>
      <c r="M146" s="122">
        <v>3</v>
      </c>
    </row>
    <row r="147" spans="1:13" ht="15.75" customHeight="1" x14ac:dyDescent="0.25">
      <c r="A147" s="126">
        <v>146</v>
      </c>
      <c r="B147" s="118" t="s">
        <v>92</v>
      </c>
      <c r="C147" s="119">
        <v>552</v>
      </c>
      <c r="D147" s="123"/>
      <c r="E147" s="15"/>
      <c r="F147" s="119">
        <v>2</v>
      </c>
      <c r="G147" s="123">
        <v>0</v>
      </c>
      <c r="H147" s="121">
        <v>1.089</v>
      </c>
      <c r="I147" s="121">
        <v>0.95</v>
      </c>
      <c r="J147" s="121">
        <v>5.1100000000000003</v>
      </c>
      <c r="K147" s="122">
        <v>40.1</v>
      </c>
      <c r="L147" s="122">
        <v>27.7</v>
      </c>
      <c r="M147" s="122">
        <v>6</v>
      </c>
    </row>
    <row r="148" spans="1:13" ht="15.75" customHeight="1" x14ac:dyDescent="0.25">
      <c r="A148" s="126">
        <v>147</v>
      </c>
      <c r="B148" s="118" t="s">
        <v>259</v>
      </c>
      <c r="C148" s="120">
        <v>403</v>
      </c>
      <c r="D148" s="120">
        <v>5</v>
      </c>
      <c r="E148" s="57">
        <v>5</v>
      </c>
      <c r="F148" s="119">
        <v>2</v>
      </c>
      <c r="G148" s="123">
        <v>1</v>
      </c>
      <c r="H148" s="121">
        <v>0.98499999999999999</v>
      </c>
      <c r="I148" s="121">
        <v>1.2</v>
      </c>
      <c r="J148" s="121">
        <v>5.61</v>
      </c>
      <c r="K148" s="122">
        <v>13.4</v>
      </c>
      <c r="L148" s="122">
        <v>29.1</v>
      </c>
      <c r="M148" s="122">
        <v>7</v>
      </c>
    </row>
    <row r="149" spans="1:13" ht="15.75" customHeight="1" x14ac:dyDescent="0.25">
      <c r="A149" s="126">
        <v>148</v>
      </c>
      <c r="B149" s="118" t="s">
        <v>260</v>
      </c>
      <c r="C149" s="119">
        <v>854</v>
      </c>
      <c r="D149" s="123"/>
      <c r="E149" s="15"/>
      <c r="F149" s="119">
        <v>2</v>
      </c>
      <c r="G149" s="123">
        <v>0</v>
      </c>
      <c r="H149" s="123"/>
      <c r="I149" s="121">
        <v>2.39</v>
      </c>
      <c r="J149" s="121">
        <v>5.0199999999999996</v>
      </c>
      <c r="K149" s="122">
        <v>19</v>
      </c>
      <c r="L149" s="122">
        <v>42.6</v>
      </c>
      <c r="M149" s="122">
        <v>6</v>
      </c>
    </row>
    <row r="150" spans="1:13" ht="15.75" customHeight="1" x14ac:dyDescent="0.25">
      <c r="A150" s="126">
        <v>149</v>
      </c>
      <c r="B150" s="118" t="s">
        <v>261</v>
      </c>
      <c r="C150" s="119">
        <v>467</v>
      </c>
      <c r="D150" s="120">
        <v>4</v>
      </c>
      <c r="E150" s="56">
        <v>4</v>
      </c>
      <c r="F150" s="119">
        <v>2</v>
      </c>
      <c r="G150" s="123">
        <v>1</v>
      </c>
      <c r="H150" s="121">
        <v>0.73499999999999999</v>
      </c>
      <c r="I150" s="121">
        <v>1.97</v>
      </c>
      <c r="J150" s="121">
        <v>4.1900000000000004</v>
      </c>
      <c r="K150" s="122">
        <v>13.8</v>
      </c>
      <c r="L150" s="122">
        <v>33.299999999999997</v>
      </c>
      <c r="M150" s="122">
        <v>4</v>
      </c>
    </row>
    <row r="151" spans="1:13" ht="15.75" customHeight="1" x14ac:dyDescent="0.25">
      <c r="A151" s="126">
        <v>150</v>
      </c>
      <c r="B151" s="118" t="s">
        <v>262</v>
      </c>
      <c r="C151" s="115">
        <v>767</v>
      </c>
      <c r="D151" s="120">
        <v>5</v>
      </c>
      <c r="E151" s="68">
        <v>4</v>
      </c>
      <c r="F151" s="119">
        <v>2</v>
      </c>
      <c r="G151" s="123">
        <v>1</v>
      </c>
      <c r="H151" s="121">
        <v>1.387</v>
      </c>
      <c r="I151" s="121">
        <v>1.37</v>
      </c>
      <c r="J151" s="121">
        <v>3.84</v>
      </c>
      <c r="K151" s="122">
        <v>23.6</v>
      </c>
      <c r="L151" s="122">
        <v>32.4</v>
      </c>
      <c r="M151" s="122">
        <v>5</v>
      </c>
    </row>
    <row r="152" spans="1:13" ht="15.75" customHeight="1" x14ac:dyDescent="0.25">
      <c r="A152" s="126">
        <v>151</v>
      </c>
      <c r="B152" s="118" t="s">
        <v>263</v>
      </c>
      <c r="C152" s="120">
        <v>87</v>
      </c>
      <c r="D152" s="119">
        <v>3</v>
      </c>
      <c r="E152" s="57">
        <v>4</v>
      </c>
      <c r="F152" s="119">
        <v>2</v>
      </c>
      <c r="G152" s="123">
        <v>1</v>
      </c>
      <c r="H152" s="121">
        <v>1.38</v>
      </c>
      <c r="I152" s="121">
        <v>0.38</v>
      </c>
      <c r="J152" s="121">
        <v>5.25</v>
      </c>
      <c r="K152" s="122">
        <v>19.2</v>
      </c>
      <c r="L152" s="122">
        <v>32.799999999999997</v>
      </c>
      <c r="M152" s="122">
        <v>5</v>
      </c>
    </row>
    <row r="153" spans="1:13" ht="15.75" customHeight="1" x14ac:dyDescent="0.25">
      <c r="A153" s="126">
        <v>152</v>
      </c>
      <c r="B153" s="118" t="s">
        <v>264</v>
      </c>
      <c r="C153" s="120">
        <v>28</v>
      </c>
      <c r="D153" s="123"/>
      <c r="E153" s="15"/>
      <c r="F153" s="119">
        <v>2</v>
      </c>
      <c r="G153" s="123">
        <v>0</v>
      </c>
      <c r="H153" s="121">
        <v>0.85099999999999998</v>
      </c>
      <c r="I153" s="121">
        <v>0.25</v>
      </c>
      <c r="J153" s="121">
        <v>3.99</v>
      </c>
      <c r="K153" s="122">
        <v>19.2</v>
      </c>
      <c r="L153" s="122">
        <v>32.799999999999997</v>
      </c>
      <c r="M153" s="122">
        <v>9</v>
      </c>
    </row>
    <row r="154" spans="1:13" ht="15.75" customHeight="1" x14ac:dyDescent="0.25">
      <c r="A154" s="126">
        <v>153</v>
      </c>
      <c r="B154" s="118" t="s">
        <v>265</v>
      </c>
      <c r="C154" s="119">
        <v>85</v>
      </c>
      <c r="D154" s="119">
        <v>3</v>
      </c>
      <c r="E154" s="56">
        <v>3</v>
      </c>
      <c r="F154" s="119">
        <v>2</v>
      </c>
      <c r="G154" s="123">
        <v>1</v>
      </c>
      <c r="H154" s="123"/>
      <c r="I154" s="121">
        <v>0.99</v>
      </c>
      <c r="J154" s="121">
        <v>9.0399999999999991</v>
      </c>
      <c r="K154" s="122">
        <v>19.2</v>
      </c>
      <c r="L154" s="122">
        <v>32.799999999999997</v>
      </c>
      <c r="M154" s="122">
        <v>5</v>
      </c>
    </row>
    <row r="155" spans="1:13" ht="15.75" customHeight="1" x14ac:dyDescent="0.25">
      <c r="A155" s="126">
        <v>154</v>
      </c>
      <c r="B155" s="118" t="s">
        <v>117</v>
      </c>
      <c r="C155" s="119">
        <v>140</v>
      </c>
      <c r="D155" s="119">
        <v>3</v>
      </c>
      <c r="E155" s="56">
        <v>3</v>
      </c>
      <c r="F155" s="119">
        <v>2</v>
      </c>
      <c r="G155" s="123">
        <v>1</v>
      </c>
      <c r="H155" s="121">
        <v>3.27</v>
      </c>
      <c r="I155" s="121">
        <v>0.21</v>
      </c>
      <c r="J155" s="121">
        <v>7.78</v>
      </c>
      <c r="K155" s="122">
        <v>19.2</v>
      </c>
      <c r="L155" s="122">
        <v>32.799999999999997</v>
      </c>
      <c r="M155" s="122">
        <v>5</v>
      </c>
    </row>
    <row r="156" spans="1:13" ht="15.75" customHeight="1" x14ac:dyDescent="0.25">
      <c r="A156" s="126">
        <v>155</v>
      </c>
      <c r="B156" s="118" t="s">
        <v>266</v>
      </c>
      <c r="C156" s="119">
        <v>726</v>
      </c>
      <c r="D156" s="120">
        <v>4</v>
      </c>
      <c r="E156" s="56">
        <v>4</v>
      </c>
      <c r="F156" s="119">
        <v>2</v>
      </c>
      <c r="G156" s="123">
        <v>1</v>
      </c>
      <c r="H156" s="123"/>
      <c r="I156" s="121">
        <v>2.04</v>
      </c>
      <c r="J156" s="121">
        <v>4.12</v>
      </c>
      <c r="K156" s="122">
        <v>8</v>
      </c>
      <c r="L156" s="122">
        <v>38.200000000000003</v>
      </c>
      <c r="M156" s="122">
        <v>4.5</v>
      </c>
    </row>
    <row r="157" spans="1:13" ht="15.75" customHeight="1" x14ac:dyDescent="0.25">
      <c r="A157" s="126">
        <v>156</v>
      </c>
      <c r="B157" s="118" t="s">
        <v>86</v>
      </c>
      <c r="C157" s="119">
        <v>73</v>
      </c>
      <c r="D157" s="123"/>
      <c r="E157" s="15"/>
      <c r="F157" s="119">
        <v>2</v>
      </c>
      <c r="G157" s="123">
        <v>0</v>
      </c>
      <c r="H157" s="121">
        <v>0.65</v>
      </c>
      <c r="I157" s="121">
        <v>0.51</v>
      </c>
      <c r="J157" s="121">
        <v>5.45</v>
      </c>
      <c r="K157" s="122">
        <v>19.2</v>
      </c>
      <c r="L157" s="122">
        <v>32.799999999999997</v>
      </c>
      <c r="M157" s="122">
        <v>7</v>
      </c>
    </row>
    <row r="158" spans="1:13" ht="15.75" customHeight="1" x14ac:dyDescent="0.25">
      <c r="A158" s="126">
        <v>157</v>
      </c>
      <c r="B158" s="118" t="s">
        <v>267</v>
      </c>
      <c r="C158" s="119">
        <v>222</v>
      </c>
      <c r="D158" s="123"/>
      <c r="E158" s="15"/>
      <c r="F158" s="119">
        <v>2</v>
      </c>
      <c r="G158" s="123">
        <v>0</v>
      </c>
      <c r="H158" s="121">
        <v>1.2090000000000001</v>
      </c>
      <c r="I158" s="121">
        <v>0.96</v>
      </c>
      <c r="J158" s="121">
        <v>3.93</v>
      </c>
      <c r="K158" s="122">
        <v>19.2</v>
      </c>
      <c r="L158" s="122">
        <v>32.799999999999997</v>
      </c>
      <c r="M158" s="122">
        <v>4</v>
      </c>
    </row>
    <row r="159" spans="1:13" ht="15.75" customHeight="1" x14ac:dyDescent="0.25">
      <c r="A159" s="126">
        <v>158</v>
      </c>
      <c r="B159" s="118" t="s">
        <v>268</v>
      </c>
      <c r="C159" s="119">
        <v>380</v>
      </c>
      <c r="D159" s="119">
        <v>3</v>
      </c>
      <c r="E159" s="56">
        <v>3</v>
      </c>
      <c r="F159" s="119">
        <v>2</v>
      </c>
      <c r="G159" s="123">
        <v>1</v>
      </c>
      <c r="H159" s="123"/>
      <c r="I159" s="121">
        <v>2.12</v>
      </c>
      <c r="J159" s="121">
        <v>6.53</v>
      </c>
      <c r="K159" s="122">
        <v>11</v>
      </c>
      <c r="L159" s="122">
        <v>37</v>
      </c>
      <c r="M159" s="122">
        <v>4</v>
      </c>
    </row>
    <row r="160" spans="1:13" ht="15.75" customHeight="1" x14ac:dyDescent="0.25">
      <c r="A160" s="126">
        <v>159</v>
      </c>
      <c r="B160" s="118" t="s">
        <v>269</v>
      </c>
      <c r="C160" s="119">
        <v>121</v>
      </c>
      <c r="D160" s="123"/>
      <c r="E160" s="15"/>
      <c r="F160" s="119">
        <v>2</v>
      </c>
      <c r="G160" s="123">
        <v>0</v>
      </c>
      <c r="H160" s="121">
        <v>1.6020000000000001</v>
      </c>
      <c r="I160" s="121">
        <v>1.0900000000000001</v>
      </c>
      <c r="J160" s="121">
        <v>3.57</v>
      </c>
      <c r="K160" s="122">
        <v>19.2</v>
      </c>
      <c r="L160" s="122">
        <v>32.799999999999997</v>
      </c>
      <c r="M160" s="122">
        <v>7</v>
      </c>
    </row>
    <row r="161" spans="1:13" ht="15.75" customHeight="1" x14ac:dyDescent="0.25">
      <c r="A161" s="126">
        <v>160</v>
      </c>
      <c r="B161" s="118" t="s">
        <v>270</v>
      </c>
      <c r="C161" s="119">
        <v>201</v>
      </c>
      <c r="D161" s="119">
        <v>4</v>
      </c>
      <c r="E161" s="56">
        <v>4</v>
      </c>
      <c r="F161" s="119">
        <v>2</v>
      </c>
      <c r="G161" s="123">
        <v>1</v>
      </c>
      <c r="H161" s="121">
        <v>1.4970000000000001</v>
      </c>
      <c r="I161" s="121">
        <v>0.78</v>
      </c>
      <c r="J161" s="121">
        <v>4.8</v>
      </c>
      <c r="K161" s="122">
        <v>19.2</v>
      </c>
      <c r="L161" s="122">
        <v>32.799999999999997</v>
      </c>
      <c r="M161" s="122">
        <v>7</v>
      </c>
    </row>
    <row r="162" spans="1:13" ht="15.75" customHeight="1" x14ac:dyDescent="0.25">
      <c r="A162" s="126">
        <v>161</v>
      </c>
      <c r="B162" s="118" t="s">
        <v>271</v>
      </c>
      <c r="C162" s="119">
        <v>194</v>
      </c>
      <c r="D162" s="119">
        <v>2</v>
      </c>
      <c r="E162" s="56">
        <v>3</v>
      </c>
      <c r="F162" s="119">
        <v>2</v>
      </c>
      <c r="G162" s="123">
        <v>1</v>
      </c>
      <c r="H162" s="121">
        <v>1.5980000000000001</v>
      </c>
      <c r="I162" s="121">
        <v>0.77</v>
      </c>
      <c r="J162" s="121">
        <v>3.23</v>
      </c>
      <c r="K162" s="122">
        <v>19.2</v>
      </c>
      <c r="L162" s="122">
        <v>32.799999999999997</v>
      </c>
      <c r="M162" s="122">
        <v>5</v>
      </c>
    </row>
    <row r="163" spans="1:13" ht="15.75" customHeight="1" x14ac:dyDescent="0.25">
      <c r="A163" s="126">
        <v>162</v>
      </c>
      <c r="B163" s="118" t="s">
        <v>98</v>
      </c>
      <c r="C163" s="119">
        <v>269</v>
      </c>
      <c r="D163" s="119">
        <v>4</v>
      </c>
      <c r="E163" s="56">
        <v>3</v>
      </c>
      <c r="F163" s="119">
        <v>2</v>
      </c>
      <c r="G163" s="123">
        <v>1</v>
      </c>
      <c r="H163" s="121">
        <v>0.97399999999999998</v>
      </c>
      <c r="I163" s="121">
        <v>1.43</v>
      </c>
      <c r="J163" s="121">
        <v>3.51</v>
      </c>
      <c r="K163" s="122">
        <v>19.2</v>
      </c>
      <c r="L163" s="122">
        <v>32.799999999999997</v>
      </c>
      <c r="M163" s="122">
        <v>6</v>
      </c>
    </row>
    <row r="164" spans="1:13" ht="15.75" customHeight="1" x14ac:dyDescent="0.25">
      <c r="A164" s="126">
        <v>163</v>
      </c>
      <c r="B164" s="118" t="s">
        <v>272</v>
      </c>
      <c r="C164" s="119">
        <v>175</v>
      </c>
      <c r="D164" s="119">
        <v>5</v>
      </c>
      <c r="E164" s="56">
        <v>5</v>
      </c>
      <c r="F164" s="119">
        <v>2</v>
      </c>
      <c r="G164" s="123">
        <v>1</v>
      </c>
      <c r="H164" s="121">
        <v>0.73099999999999998</v>
      </c>
      <c r="I164" s="121">
        <v>0.66</v>
      </c>
      <c r="J164" s="121">
        <v>2.87</v>
      </c>
      <c r="K164" s="122">
        <v>19.2</v>
      </c>
      <c r="L164" s="122">
        <v>32.799999999999997</v>
      </c>
      <c r="M164" s="122">
        <v>4</v>
      </c>
    </row>
    <row r="165" spans="1:13" ht="15.75" customHeight="1" x14ac:dyDescent="0.25">
      <c r="A165" s="126">
        <v>164</v>
      </c>
      <c r="B165" s="118" t="s">
        <v>273</v>
      </c>
      <c r="C165" s="119">
        <v>243</v>
      </c>
      <c r="D165" s="123"/>
      <c r="E165" s="15"/>
      <c r="F165" s="119">
        <v>2</v>
      </c>
      <c r="G165" s="123">
        <v>0</v>
      </c>
      <c r="H165" s="121">
        <v>1.296</v>
      </c>
      <c r="I165" s="121">
        <v>0.98</v>
      </c>
      <c r="J165" s="121">
        <v>4.04</v>
      </c>
      <c r="K165" s="122">
        <v>19.2</v>
      </c>
      <c r="L165" s="122">
        <v>32.799999999999997</v>
      </c>
      <c r="M165" s="122">
        <v>7</v>
      </c>
    </row>
    <row r="166" spans="1:13" ht="15.75" customHeight="1" x14ac:dyDescent="0.25">
      <c r="A166" s="126">
        <v>165</v>
      </c>
      <c r="B166" s="118" t="s">
        <v>274</v>
      </c>
      <c r="C166" s="120">
        <v>150</v>
      </c>
      <c r="D166" s="119">
        <v>5</v>
      </c>
      <c r="E166" s="57">
        <v>5</v>
      </c>
      <c r="F166" s="119">
        <v>2</v>
      </c>
      <c r="G166" s="123">
        <v>1</v>
      </c>
      <c r="H166" s="121">
        <v>1.139</v>
      </c>
      <c r="I166" s="121">
        <v>1</v>
      </c>
      <c r="J166" s="121">
        <v>3.83</v>
      </c>
      <c r="K166" s="122">
        <v>19.2</v>
      </c>
      <c r="L166" s="122">
        <v>32.799999999999997</v>
      </c>
      <c r="M166" s="122">
        <v>4</v>
      </c>
    </row>
    <row r="167" spans="1:13" ht="15.75" customHeight="1" x14ac:dyDescent="0.25">
      <c r="A167" s="126">
        <v>166</v>
      </c>
      <c r="B167" s="118" t="s">
        <v>80</v>
      </c>
      <c r="C167" s="119">
        <v>280</v>
      </c>
      <c r="D167" s="123"/>
      <c r="E167" s="15"/>
      <c r="F167" s="119">
        <v>1</v>
      </c>
      <c r="G167" s="123">
        <v>0</v>
      </c>
      <c r="H167" s="121">
        <v>1.335</v>
      </c>
      <c r="I167" s="121">
        <v>0.94</v>
      </c>
      <c r="J167" s="121">
        <v>4.21</v>
      </c>
      <c r="K167" s="122">
        <v>28.7</v>
      </c>
      <c r="L167" s="122">
        <v>9.9</v>
      </c>
      <c r="M167" s="122">
        <v>7</v>
      </c>
    </row>
    <row r="168" spans="1:13" ht="15.75" customHeight="1" x14ac:dyDescent="0.25">
      <c r="A168" s="126">
        <v>167</v>
      </c>
      <c r="B168" s="118" t="s">
        <v>29</v>
      </c>
      <c r="C168" s="120">
        <v>139</v>
      </c>
      <c r="D168" s="123"/>
      <c r="E168" s="15"/>
      <c r="F168" s="119">
        <v>1</v>
      </c>
      <c r="G168" s="123">
        <v>0</v>
      </c>
      <c r="H168" s="121">
        <v>1.0449999999999999</v>
      </c>
      <c r="I168" s="121">
        <v>1.17</v>
      </c>
      <c r="J168" s="121">
        <v>8.44</v>
      </c>
      <c r="K168" s="122">
        <v>19.2</v>
      </c>
      <c r="L168" s="122">
        <v>32.799999999999997</v>
      </c>
      <c r="M168" s="122">
        <v>8</v>
      </c>
    </row>
    <row r="169" spans="1:13" ht="15.75" customHeight="1" x14ac:dyDescent="0.25">
      <c r="A169" s="126">
        <v>168</v>
      </c>
      <c r="B169" s="118" t="s">
        <v>275</v>
      </c>
      <c r="C169" s="120">
        <v>125</v>
      </c>
      <c r="D169" s="119">
        <v>5</v>
      </c>
      <c r="E169" s="57">
        <v>5</v>
      </c>
      <c r="F169" s="119">
        <v>1</v>
      </c>
      <c r="G169" s="123">
        <v>1</v>
      </c>
      <c r="H169" s="121">
        <v>0.70099999999999996</v>
      </c>
      <c r="I169" s="121">
        <v>0.38</v>
      </c>
      <c r="J169" s="121">
        <v>6.45</v>
      </c>
      <c r="K169" s="122">
        <v>19.2</v>
      </c>
      <c r="L169" s="122">
        <v>32.799999999999997</v>
      </c>
      <c r="M169" s="122">
        <v>7</v>
      </c>
    </row>
    <row r="170" spans="1:13" ht="15.75" customHeight="1" x14ac:dyDescent="0.25">
      <c r="A170" s="126">
        <v>169</v>
      </c>
      <c r="B170" s="118" t="s">
        <v>113</v>
      </c>
      <c r="C170" s="119">
        <v>181</v>
      </c>
      <c r="D170" s="123"/>
      <c r="E170" s="15"/>
      <c r="F170" s="119">
        <v>1</v>
      </c>
      <c r="G170" s="123">
        <v>0</v>
      </c>
      <c r="H170" s="121">
        <v>1.319</v>
      </c>
      <c r="I170" s="121">
        <v>0.65</v>
      </c>
      <c r="J170" s="121">
        <v>3.32</v>
      </c>
      <c r="K170" s="122">
        <v>19.2</v>
      </c>
      <c r="L170" s="122">
        <v>32.799999999999997</v>
      </c>
      <c r="M170" s="122">
        <v>3</v>
      </c>
    </row>
    <row r="171" spans="1:13" ht="15.75" customHeight="1" x14ac:dyDescent="0.25">
      <c r="A171" s="126">
        <v>170</v>
      </c>
      <c r="B171" s="118" t="s">
        <v>276</v>
      </c>
      <c r="C171" s="119">
        <v>379</v>
      </c>
      <c r="D171" s="120">
        <v>5</v>
      </c>
      <c r="E171" s="56">
        <v>4</v>
      </c>
      <c r="F171" s="119">
        <v>1</v>
      </c>
      <c r="G171" s="123">
        <v>1</v>
      </c>
      <c r="H171" s="123"/>
      <c r="I171" s="121">
        <v>0.9</v>
      </c>
      <c r="J171" s="121">
        <v>7.46</v>
      </c>
      <c r="K171" s="122">
        <v>19.2</v>
      </c>
      <c r="L171" s="122">
        <v>32.799999999999997</v>
      </c>
      <c r="M171" s="122">
        <v>4</v>
      </c>
    </row>
    <row r="172" spans="1:13" ht="15.75" customHeight="1" x14ac:dyDescent="0.25">
      <c r="A172" s="126">
        <v>171</v>
      </c>
      <c r="B172" s="118" t="s">
        <v>27</v>
      </c>
      <c r="C172" s="119">
        <v>388</v>
      </c>
      <c r="D172" s="120">
        <v>3</v>
      </c>
      <c r="E172" s="56">
        <v>3</v>
      </c>
      <c r="F172" s="119">
        <v>1</v>
      </c>
      <c r="G172" s="123">
        <v>1</v>
      </c>
      <c r="H172" s="121">
        <v>1.1040000000000001</v>
      </c>
      <c r="I172" s="121">
        <v>1.17</v>
      </c>
      <c r="J172" s="121">
        <v>5.71</v>
      </c>
      <c r="K172" s="122">
        <v>22.7</v>
      </c>
      <c r="L172" s="122">
        <v>20.6</v>
      </c>
      <c r="M172" s="122">
        <v>4</v>
      </c>
    </row>
    <row r="173" spans="1:13" ht="15.75" customHeight="1" x14ac:dyDescent="0.25">
      <c r="A173" s="126">
        <v>172</v>
      </c>
      <c r="B173" s="118" t="s">
        <v>110</v>
      </c>
      <c r="C173" s="119">
        <v>383</v>
      </c>
      <c r="D173" s="120">
        <v>5</v>
      </c>
      <c r="E173" s="56">
        <v>5</v>
      </c>
      <c r="F173" s="119">
        <v>1</v>
      </c>
      <c r="G173" s="123">
        <v>1</v>
      </c>
      <c r="H173" s="121">
        <v>1.431</v>
      </c>
      <c r="I173" s="121">
        <v>1.72</v>
      </c>
      <c r="J173" s="121">
        <v>2.74</v>
      </c>
      <c r="K173" s="122">
        <v>13.7</v>
      </c>
      <c r="L173" s="122">
        <v>41.7</v>
      </c>
      <c r="M173" s="122">
        <v>5</v>
      </c>
    </row>
    <row r="174" spans="1:13" ht="15.75" customHeight="1" x14ac:dyDescent="0.25">
      <c r="A174" s="126">
        <v>173</v>
      </c>
      <c r="B174" s="118" t="s">
        <v>277</v>
      </c>
      <c r="C174" s="120">
        <v>601</v>
      </c>
      <c r="D174" s="120">
        <v>5</v>
      </c>
      <c r="E174" s="57">
        <v>5</v>
      </c>
      <c r="F174" s="119">
        <v>1</v>
      </c>
      <c r="G174" s="123">
        <v>1</v>
      </c>
      <c r="H174" s="121">
        <v>1.1559999999999999</v>
      </c>
      <c r="I174" s="121">
        <v>1.07</v>
      </c>
      <c r="J174" s="121">
        <v>3.58</v>
      </c>
      <c r="K174" s="122">
        <v>13.8</v>
      </c>
      <c r="L174" s="122">
        <v>29.8</v>
      </c>
      <c r="M174" s="122">
        <v>4</v>
      </c>
    </row>
    <row r="175" spans="1:13" ht="15.75" customHeight="1" x14ac:dyDescent="0.25">
      <c r="A175" s="126">
        <v>174</v>
      </c>
      <c r="B175" s="118" t="s">
        <v>67</v>
      </c>
      <c r="C175" s="119">
        <v>256</v>
      </c>
      <c r="D175" s="120">
        <v>3</v>
      </c>
      <c r="E175" s="56">
        <v>4</v>
      </c>
      <c r="F175" s="119">
        <v>1</v>
      </c>
      <c r="G175" s="123">
        <v>1</v>
      </c>
      <c r="H175" s="121">
        <v>1.8640000000000001</v>
      </c>
      <c r="I175" s="121">
        <v>0.69</v>
      </c>
      <c r="J175" s="121">
        <v>3.64</v>
      </c>
      <c r="K175" s="122">
        <v>23.5</v>
      </c>
      <c r="L175" s="122">
        <v>22.8</v>
      </c>
      <c r="M175" s="122">
        <v>5</v>
      </c>
    </row>
    <row r="176" spans="1:13" ht="15.75" customHeight="1" x14ac:dyDescent="0.25">
      <c r="A176" s="126">
        <v>175</v>
      </c>
      <c r="B176" s="118" t="s">
        <v>278</v>
      </c>
      <c r="C176" s="120">
        <v>316</v>
      </c>
      <c r="D176" s="120">
        <v>4</v>
      </c>
      <c r="E176" s="57">
        <v>4</v>
      </c>
      <c r="F176" s="119">
        <v>1</v>
      </c>
      <c r="G176" s="123">
        <v>1</v>
      </c>
      <c r="H176" s="121">
        <v>2</v>
      </c>
      <c r="I176" s="121">
        <v>2.57</v>
      </c>
      <c r="J176" s="121">
        <v>7.67</v>
      </c>
      <c r="K176" s="122">
        <v>14.8</v>
      </c>
      <c r="L176" s="122">
        <v>42.6</v>
      </c>
      <c r="M176" s="122">
        <v>4</v>
      </c>
    </row>
    <row r="177" spans="1:13" ht="15.75" customHeight="1" x14ac:dyDescent="0.25">
      <c r="A177" s="126">
        <v>176</v>
      </c>
      <c r="B177" s="118" t="s">
        <v>279</v>
      </c>
      <c r="C177" s="119">
        <v>498</v>
      </c>
      <c r="D177" s="120">
        <v>3</v>
      </c>
      <c r="E177" s="56">
        <v>3</v>
      </c>
      <c r="F177" s="119">
        <v>1</v>
      </c>
      <c r="G177" s="123">
        <v>1</v>
      </c>
      <c r="H177" s="121">
        <v>2.2909999999999999</v>
      </c>
      <c r="I177" s="121">
        <v>0.89</v>
      </c>
      <c r="J177" s="121">
        <v>4.2</v>
      </c>
      <c r="K177" s="122">
        <v>14</v>
      </c>
      <c r="L177" s="122">
        <v>32.299999999999997</v>
      </c>
      <c r="M177" s="122">
        <v>4</v>
      </c>
    </row>
    <row r="178" spans="1:13" ht="15.75" customHeight="1" x14ac:dyDescent="0.25">
      <c r="A178" s="126">
        <v>177</v>
      </c>
      <c r="B178" s="118" t="s">
        <v>280</v>
      </c>
      <c r="C178" s="119">
        <v>233</v>
      </c>
      <c r="D178" s="123"/>
      <c r="E178" s="15"/>
      <c r="F178" s="119">
        <v>1</v>
      </c>
      <c r="G178" s="123">
        <v>0</v>
      </c>
      <c r="H178" s="123"/>
      <c r="I178" s="121">
        <v>1.96</v>
      </c>
      <c r="J178" s="121">
        <v>7.16</v>
      </c>
      <c r="K178" s="122">
        <v>19.2</v>
      </c>
      <c r="L178" s="122">
        <v>32.799999999999997</v>
      </c>
      <c r="M178" s="122">
        <v>4</v>
      </c>
    </row>
    <row r="179" spans="1:13" ht="15.75" customHeight="1" x14ac:dyDescent="0.25">
      <c r="A179" s="126">
        <v>178</v>
      </c>
      <c r="B179" s="118" t="s">
        <v>281</v>
      </c>
      <c r="C179" s="119">
        <v>188</v>
      </c>
      <c r="D179" s="119">
        <v>3</v>
      </c>
      <c r="E179" s="56">
        <v>4</v>
      </c>
      <c r="F179" s="119">
        <v>1</v>
      </c>
      <c r="G179" s="123">
        <v>1</v>
      </c>
      <c r="H179" s="121">
        <v>1.329</v>
      </c>
      <c r="I179" s="121">
        <v>0.32</v>
      </c>
      <c r="J179" s="121">
        <v>4.46</v>
      </c>
      <c r="K179" s="122">
        <v>19.2</v>
      </c>
      <c r="L179" s="122">
        <v>32.799999999999997</v>
      </c>
      <c r="M179" s="122">
        <v>4</v>
      </c>
    </row>
    <row r="180" spans="1:13" ht="15.75" customHeight="1" x14ac:dyDescent="0.25">
      <c r="A180" s="126">
        <v>179</v>
      </c>
      <c r="B180" s="118" t="s">
        <v>282</v>
      </c>
      <c r="C180" s="120">
        <v>114</v>
      </c>
      <c r="D180" s="123"/>
      <c r="E180" s="15"/>
      <c r="F180" s="119">
        <v>1</v>
      </c>
      <c r="G180" s="123">
        <v>0</v>
      </c>
      <c r="H180" s="121">
        <v>0.71699999999999997</v>
      </c>
      <c r="I180" s="121">
        <v>0.53</v>
      </c>
      <c r="J180" s="121">
        <v>3.86</v>
      </c>
      <c r="K180" s="122">
        <v>19.2</v>
      </c>
      <c r="L180" s="122">
        <v>32.799999999999997</v>
      </c>
      <c r="M180" s="122">
        <v>5</v>
      </c>
    </row>
    <row r="181" spans="1:13" ht="15.75" customHeight="1" x14ac:dyDescent="0.25">
      <c r="A181" s="126">
        <v>180</v>
      </c>
      <c r="B181" s="118" t="s">
        <v>283</v>
      </c>
      <c r="C181" s="119">
        <v>139</v>
      </c>
      <c r="D181" s="123"/>
      <c r="E181" s="15"/>
      <c r="F181" s="119">
        <v>1</v>
      </c>
      <c r="G181" s="123">
        <v>0</v>
      </c>
      <c r="H181" s="121">
        <v>0.77200000000000002</v>
      </c>
      <c r="I181" s="121">
        <v>0.74</v>
      </c>
      <c r="J181" s="121">
        <v>3.55</v>
      </c>
      <c r="K181" s="122">
        <v>19.2</v>
      </c>
      <c r="L181" s="122">
        <v>32.799999999999997</v>
      </c>
      <c r="M181" s="122">
        <v>6</v>
      </c>
    </row>
    <row r="182" spans="1:13" ht="15.75" customHeight="1" x14ac:dyDescent="0.25">
      <c r="A182" s="126">
        <v>181</v>
      </c>
      <c r="B182" s="118" t="s">
        <v>59</v>
      </c>
      <c r="C182" s="119">
        <v>775</v>
      </c>
      <c r="D182" s="123"/>
      <c r="E182" s="15"/>
      <c r="F182" s="119">
        <v>1</v>
      </c>
      <c r="G182" s="123">
        <v>0</v>
      </c>
      <c r="H182" s="121">
        <v>0.72399999999999998</v>
      </c>
      <c r="I182" s="121">
        <v>1.0900000000000001</v>
      </c>
      <c r="J182" s="121">
        <v>5.6</v>
      </c>
      <c r="K182" s="122">
        <v>26.5</v>
      </c>
      <c r="L182" s="122">
        <v>45.3</v>
      </c>
      <c r="M182" s="122">
        <v>6</v>
      </c>
    </row>
    <row r="183" spans="1:13" ht="15.75" customHeight="1" x14ac:dyDescent="0.25">
      <c r="A183" s="126">
        <v>182</v>
      </c>
      <c r="B183" s="118" t="s">
        <v>108</v>
      </c>
      <c r="C183" s="119">
        <v>294</v>
      </c>
      <c r="D183" s="123"/>
      <c r="E183" s="15"/>
      <c r="F183" s="119">
        <v>1</v>
      </c>
      <c r="G183" s="123">
        <v>0</v>
      </c>
      <c r="H183" s="121">
        <v>1.379</v>
      </c>
      <c r="I183" s="121">
        <v>0.66</v>
      </c>
      <c r="J183" s="121">
        <v>5.66</v>
      </c>
      <c r="K183" s="122">
        <v>19.2</v>
      </c>
      <c r="L183" s="122">
        <v>32.799999999999997</v>
      </c>
      <c r="M183" s="122">
        <v>4</v>
      </c>
    </row>
    <row r="184" spans="1:13" ht="15.75" customHeight="1" x14ac:dyDescent="0.25">
      <c r="A184" s="126">
        <v>183</v>
      </c>
      <c r="B184" s="118" t="s">
        <v>100</v>
      </c>
      <c r="C184" s="119">
        <v>560</v>
      </c>
      <c r="D184" s="120">
        <v>4</v>
      </c>
      <c r="E184" s="56">
        <v>4</v>
      </c>
      <c r="F184" s="119">
        <v>1</v>
      </c>
      <c r="G184" s="123">
        <v>1</v>
      </c>
      <c r="H184" s="121">
        <v>4</v>
      </c>
      <c r="I184" s="121">
        <v>1.18</v>
      </c>
      <c r="J184" s="121">
        <v>4.9400000000000004</v>
      </c>
      <c r="K184" s="122">
        <v>24</v>
      </c>
      <c r="L184" s="122">
        <v>26</v>
      </c>
      <c r="M184" s="122">
        <v>3</v>
      </c>
    </row>
    <row r="185" spans="1:13" ht="15.75" customHeight="1" x14ac:dyDescent="0.25">
      <c r="A185" s="126">
        <v>184</v>
      </c>
      <c r="B185" s="118" t="s">
        <v>284</v>
      </c>
      <c r="C185" s="119">
        <v>149</v>
      </c>
      <c r="D185" s="123"/>
      <c r="E185" s="15"/>
      <c r="F185" s="119">
        <v>1</v>
      </c>
      <c r="G185" s="123">
        <v>0</v>
      </c>
      <c r="H185" s="121">
        <v>1.395</v>
      </c>
      <c r="I185" s="121">
        <v>0.48</v>
      </c>
      <c r="J185" s="121">
        <v>4.13</v>
      </c>
      <c r="K185" s="122">
        <v>19.2</v>
      </c>
      <c r="L185" s="122">
        <v>32.799999999999997</v>
      </c>
      <c r="M185" s="122">
        <v>6</v>
      </c>
    </row>
    <row r="186" spans="1:13" ht="15.75" customHeight="1" x14ac:dyDescent="0.25">
      <c r="A186" s="126">
        <v>185</v>
      </c>
      <c r="B186" s="118" t="s">
        <v>47</v>
      </c>
      <c r="C186" s="119">
        <v>130</v>
      </c>
      <c r="D186" s="123"/>
      <c r="E186" s="15"/>
      <c r="F186" s="119">
        <v>1</v>
      </c>
      <c r="G186" s="123">
        <v>0</v>
      </c>
      <c r="H186" s="121">
        <v>1.593</v>
      </c>
      <c r="I186" s="121">
        <v>0.62</v>
      </c>
      <c r="J186" s="121">
        <v>6.97</v>
      </c>
      <c r="K186" s="122">
        <v>19.2</v>
      </c>
      <c r="L186" s="122">
        <v>32.799999999999997</v>
      </c>
      <c r="M186" s="122">
        <v>5</v>
      </c>
    </row>
    <row r="187" spans="1:13" ht="15.75" customHeight="1" x14ac:dyDescent="0.25">
      <c r="A187" s="126">
        <v>186</v>
      </c>
      <c r="B187" s="118" t="s">
        <v>285</v>
      </c>
      <c r="C187" s="119">
        <v>150</v>
      </c>
      <c r="D187" s="119">
        <v>5</v>
      </c>
      <c r="E187" s="56">
        <v>4</v>
      </c>
      <c r="F187" s="119">
        <v>1</v>
      </c>
      <c r="G187" s="119"/>
      <c r="H187" s="123"/>
      <c r="I187" s="121">
        <v>2.16</v>
      </c>
      <c r="J187" s="121">
        <v>7.3</v>
      </c>
      <c r="K187" s="122">
        <v>19.2</v>
      </c>
      <c r="L187" s="122">
        <v>32.799999999999997</v>
      </c>
      <c r="M187" s="122">
        <v>5</v>
      </c>
    </row>
  </sheetData>
  <autoFilter ref="A1:M18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0"/>
  <sheetViews>
    <sheetView workbookViewId="0"/>
  </sheetViews>
  <sheetFormatPr defaultRowHeight="14.4" x14ac:dyDescent="0.3"/>
  <cols>
    <col min="2" max="2" width="64" bestFit="1" customWidth="1"/>
  </cols>
  <sheetData>
    <row r="1" spans="1:13" x14ac:dyDescent="0.3">
      <c r="A1" t="s">
        <v>8</v>
      </c>
      <c r="B1" t="s">
        <v>411</v>
      </c>
      <c r="C1" t="s">
        <v>410</v>
      </c>
      <c r="D1" t="s">
        <v>419</v>
      </c>
      <c r="E1" t="s">
        <v>418</v>
      </c>
      <c r="F1" t="s">
        <v>417</v>
      </c>
      <c r="G1" t="s">
        <v>409</v>
      </c>
      <c r="H1" t="s">
        <v>408</v>
      </c>
      <c r="I1" t="s">
        <v>412</v>
      </c>
      <c r="J1" t="s">
        <v>413</v>
      </c>
      <c r="K1" t="s">
        <v>526</v>
      </c>
      <c r="L1" t="s">
        <v>527</v>
      </c>
      <c r="M1" t="s">
        <v>415</v>
      </c>
    </row>
    <row r="2" spans="1:13" x14ac:dyDescent="0.3">
      <c r="A2" s="162">
        <v>1</v>
      </c>
      <c r="B2" t="s">
        <v>87</v>
      </c>
      <c r="C2" s="162">
        <v>130</v>
      </c>
      <c r="D2" s="162">
        <v>5</v>
      </c>
      <c r="E2" s="162">
        <v>5</v>
      </c>
      <c r="F2" s="162">
        <v>5</v>
      </c>
      <c r="G2" s="162">
        <v>1</v>
      </c>
      <c r="H2" s="162">
        <v>0.48</v>
      </c>
      <c r="I2" s="162">
        <v>1.04</v>
      </c>
      <c r="J2" s="162">
        <v>10.210000000000001</v>
      </c>
      <c r="K2" s="162">
        <v>68.400000000000006</v>
      </c>
      <c r="L2" s="162">
        <v>17.100000000000001</v>
      </c>
      <c r="M2" s="162">
        <v>21</v>
      </c>
    </row>
    <row r="3" spans="1:13" x14ac:dyDescent="0.3">
      <c r="A3" s="162">
        <v>2</v>
      </c>
      <c r="B3" t="s">
        <v>60</v>
      </c>
      <c r="C3" s="162">
        <v>51</v>
      </c>
      <c r="D3" s="162">
        <v>3</v>
      </c>
      <c r="E3" s="162">
        <v>3</v>
      </c>
      <c r="F3" s="162">
        <v>5</v>
      </c>
      <c r="G3" s="162">
        <v>1</v>
      </c>
      <c r="H3" s="162">
        <v>2.4300000000000002</v>
      </c>
      <c r="I3" s="162">
        <v>4.75</v>
      </c>
      <c r="J3" s="162">
        <v>0</v>
      </c>
      <c r="K3" s="162">
        <v>67.400000000000006</v>
      </c>
      <c r="L3" s="162">
        <v>9.3000000000000007</v>
      </c>
      <c r="M3" s="162">
        <v>19</v>
      </c>
    </row>
    <row r="4" spans="1:13" x14ac:dyDescent="0.3">
      <c r="A4" s="162">
        <v>3</v>
      </c>
      <c r="B4" t="s">
        <v>89</v>
      </c>
      <c r="C4" s="162">
        <v>80</v>
      </c>
      <c r="D4" s="162">
        <v>4</v>
      </c>
      <c r="E4" s="162">
        <v>3</v>
      </c>
      <c r="F4" s="162">
        <v>5</v>
      </c>
      <c r="G4" s="162">
        <v>1</v>
      </c>
      <c r="H4" s="162">
        <v>1.61</v>
      </c>
      <c r="I4" s="162">
        <v>1.93</v>
      </c>
      <c r="J4" s="162">
        <v>7.91</v>
      </c>
      <c r="K4" s="162">
        <v>20</v>
      </c>
      <c r="L4" s="162">
        <v>22.9</v>
      </c>
      <c r="M4" s="162">
        <v>15</v>
      </c>
    </row>
    <row r="5" spans="1:13" x14ac:dyDescent="0.3">
      <c r="A5" s="162">
        <v>4</v>
      </c>
      <c r="B5" t="s">
        <v>275</v>
      </c>
      <c r="C5" s="162">
        <v>78</v>
      </c>
      <c r="D5" s="162">
        <v>5</v>
      </c>
      <c r="E5" s="162">
        <v>5</v>
      </c>
      <c r="F5" s="162">
        <v>5</v>
      </c>
      <c r="G5" s="162">
        <v>1</v>
      </c>
      <c r="H5" s="162">
        <v>1.52</v>
      </c>
      <c r="I5" s="162">
        <v>1.1299999999999999</v>
      </c>
      <c r="J5" s="162">
        <v>6.69</v>
      </c>
      <c r="K5" s="162">
        <v>67.599999999999994</v>
      </c>
      <c r="L5" s="162">
        <v>20.6</v>
      </c>
      <c r="M5" s="162">
        <v>22</v>
      </c>
    </row>
    <row r="6" spans="1:13" x14ac:dyDescent="0.3">
      <c r="A6" s="162">
        <v>5</v>
      </c>
      <c r="B6" t="s">
        <v>26</v>
      </c>
      <c r="C6" s="162">
        <v>69</v>
      </c>
      <c r="D6" s="162">
        <v>5</v>
      </c>
      <c r="E6" s="162">
        <v>5</v>
      </c>
      <c r="F6" s="162">
        <v>5</v>
      </c>
      <c r="G6" s="162">
        <v>1</v>
      </c>
      <c r="H6" s="162">
        <v>0.86</v>
      </c>
      <c r="I6" s="162">
        <v>0.44</v>
      </c>
      <c r="J6" s="162">
        <v>2.09</v>
      </c>
      <c r="K6" s="162">
        <v>83.3</v>
      </c>
      <c r="L6" s="162">
        <v>23.3</v>
      </c>
      <c r="M6" s="162">
        <v>13.5</v>
      </c>
    </row>
    <row r="7" spans="1:13" x14ac:dyDescent="0.3">
      <c r="A7" s="162">
        <v>6</v>
      </c>
      <c r="B7" t="s">
        <v>57</v>
      </c>
      <c r="C7" s="162">
        <v>99</v>
      </c>
      <c r="D7" s="162"/>
      <c r="E7" s="162"/>
      <c r="F7" s="162">
        <v>5</v>
      </c>
      <c r="G7" s="162">
        <v>0</v>
      </c>
      <c r="H7" s="162">
        <v>0.95</v>
      </c>
      <c r="I7" s="162">
        <v>0.85</v>
      </c>
      <c r="J7" s="162">
        <v>9.07</v>
      </c>
      <c r="K7" s="162">
        <v>84.4</v>
      </c>
      <c r="L7" s="162">
        <v>28.9</v>
      </c>
      <c r="M7" s="162">
        <v>28</v>
      </c>
    </row>
    <row r="8" spans="1:13" x14ac:dyDescent="0.3">
      <c r="A8" s="162">
        <v>7</v>
      </c>
      <c r="B8" t="s">
        <v>320</v>
      </c>
      <c r="C8" s="162">
        <v>62</v>
      </c>
      <c r="D8" s="162">
        <v>4</v>
      </c>
      <c r="E8" s="162">
        <v>4</v>
      </c>
      <c r="F8" s="162">
        <v>5</v>
      </c>
      <c r="G8" s="162">
        <v>1</v>
      </c>
      <c r="H8" s="162">
        <v>1.3</v>
      </c>
      <c r="I8" s="162">
        <v>1.92</v>
      </c>
      <c r="J8" s="162">
        <v>3.39</v>
      </c>
      <c r="K8" s="162">
        <v>63</v>
      </c>
      <c r="L8" s="162">
        <v>17.399999999999999</v>
      </c>
      <c r="M8" s="162">
        <v>16</v>
      </c>
    </row>
    <row r="9" spans="1:13" x14ac:dyDescent="0.3">
      <c r="A9" s="162">
        <v>8</v>
      </c>
      <c r="B9" t="s">
        <v>321</v>
      </c>
      <c r="C9" s="162">
        <v>36</v>
      </c>
      <c r="D9" s="162"/>
      <c r="E9" s="162"/>
      <c r="F9" s="162">
        <v>5</v>
      </c>
      <c r="G9" s="162">
        <v>0</v>
      </c>
      <c r="H9" s="162">
        <v>0.62</v>
      </c>
      <c r="I9" s="162">
        <v>0.2</v>
      </c>
      <c r="J9" s="162">
        <v>12.47</v>
      </c>
      <c r="K9" s="162">
        <v>66.7</v>
      </c>
      <c r="L9" s="162">
        <v>66.7</v>
      </c>
      <c r="M9" s="162">
        <v>24</v>
      </c>
    </row>
    <row r="10" spans="1:13" x14ac:dyDescent="0.3">
      <c r="A10" s="162">
        <v>9</v>
      </c>
      <c r="B10" t="s">
        <v>322</v>
      </c>
      <c r="C10" s="162">
        <v>150</v>
      </c>
      <c r="D10" s="162">
        <v>5</v>
      </c>
      <c r="E10" s="162">
        <v>5</v>
      </c>
      <c r="F10" s="162">
        <v>5</v>
      </c>
      <c r="G10" s="162">
        <v>1</v>
      </c>
      <c r="H10" s="162">
        <v>0.78</v>
      </c>
      <c r="I10" s="162">
        <v>0.88</v>
      </c>
      <c r="J10" s="162">
        <v>8.31</v>
      </c>
      <c r="K10" s="162">
        <v>69.2</v>
      </c>
      <c r="L10" s="162">
        <v>18.7</v>
      </c>
      <c r="M10" s="162">
        <v>22</v>
      </c>
    </row>
    <row r="11" spans="1:13" x14ac:dyDescent="0.3">
      <c r="A11" s="162">
        <v>10</v>
      </c>
      <c r="B11" t="s">
        <v>76</v>
      </c>
      <c r="C11" s="162">
        <v>87</v>
      </c>
      <c r="D11" s="162">
        <v>3</v>
      </c>
      <c r="E11" s="162">
        <v>3</v>
      </c>
      <c r="F11" s="162">
        <v>5</v>
      </c>
      <c r="G11" s="162">
        <v>1</v>
      </c>
      <c r="H11" s="162">
        <v>0.84</v>
      </c>
      <c r="I11" s="162">
        <v>0.61</v>
      </c>
      <c r="J11" s="162">
        <v>7.7</v>
      </c>
      <c r="K11" s="162">
        <v>90.2</v>
      </c>
      <c r="L11" s="162">
        <v>19.600000000000001</v>
      </c>
      <c r="M11" s="162">
        <v>21</v>
      </c>
    </row>
    <row r="12" spans="1:13" x14ac:dyDescent="0.3">
      <c r="A12" s="162">
        <v>11</v>
      </c>
      <c r="B12" t="s">
        <v>323</v>
      </c>
      <c r="C12" s="162">
        <v>120</v>
      </c>
      <c r="D12" s="162"/>
      <c r="E12" s="162"/>
      <c r="F12" s="162">
        <v>5</v>
      </c>
      <c r="G12" s="162">
        <v>0</v>
      </c>
      <c r="H12" s="162">
        <v>0.89</v>
      </c>
      <c r="I12" s="162">
        <v>0.62</v>
      </c>
      <c r="J12" s="162">
        <v>8.26</v>
      </c>
      <c r="K12" s="162">
        <v>98.2</v>
      </c>
      <c r="L12" s="162">
        <v>7</v>
      </c>
      <c r="M12" s="162">
        <v>15</v>
      </c>
    </row>
    <row r="13" spans="1:13" x14ac:dyDescent="0.3">
      <c r="A13" s="162">
        <v>12</v>
      </c>
      <c r="B13" t="s">
        <v>324</v>
      </c>
      <c r="C13" s="162">
        <v>134</v>
      </c>
      <c r="D13" s="162"/>
      <c r="E13" s="162"/>
      <c r="F13" s="162">
        <v>5</v>
      </c>
      <c r="G13" s="162">
        <v>0</v>
      </c>
      <c r="H13" s="162">
        <v>0.85</v>
      </c>
      <c r="I13" s="162">
        <v>0.83</v>
      </c>
      <c r="J13" s="162">
        <v>5.81</v>
      </c>
      <c r="K13" s="162">
        <v>29.9</v>
      </c>
      <c r="L13" s="162">
        <v>11.9</v>
      </c>
      <c r="M13" s="162">
        <v>13</v>
      </c>
    </row>
    <row r="14" spans="1:13" x14ac:dyDescent="0.3">
      <c r="A14" s="162">
        <v>13</v>
      </c>
      <c r="B14" t="s">
        <v>124</v>
      </c>
      <c r="C14" s="162">
        <v>75</v>
      </c>
      <c r="D14" s="162">
        <v>5</v>
      </c>
      <c r="E14" s="162">
        <v>4</v>
      </c>
      <c r="F14" s="162">
        <v>5</v>
      </c>
      <c r="G14" s="162">
        <v>1</v>
      </c>
      <c r="H14" s="162">
        <v>1.97</v>
      </c>
      <c r="I14" s="162">
        <v>1.37</v>
      </c>
      <c r="J14" s="162">
        <v>11.24</v>
      </c>
      <c r="K14" s="162">
        <v>66.7</v>
      </c>
      <c r="L14" s="162">
        <v>7.4</v>
      </c>
      <c r="M14" s="162">
        <v>21</v>
      </c>
    </row>
    <row r="15" spans="1:13" x14ac:dyDescent="0.3">
      <c r="A15" s="162">
        <v>14</v>
      </c>
      <c r="B15" t="s">
        <v>102</v>
      </c>
      <c r="C15" s="162">
        <v>141</v>
      </c>
      <c r="D15" s="162"/>
      <c r="E15" s="162"/>
      <c r="F15" s="162">
        <v>5</v>
      </c>
      <c r="G15" s="162">
        <v>0</v>
      </c>
      <c r="H15" s="162">
        <v>1.0900000000000001</v>
      </c>
      <c r="I15" s="162">
        <v>1.8</v>
      </c>
      <c r="J15" s="162">
        <v>6.64</v>
      </c>
      <c r="K15" s="162">
        <v>71.099999999999994</v>
      </c>
      <c r="L15" s="162">
        <v>28.9</v>
      </c>
      <c r="M15" s="162">
        <v>27</v>
      </c>
    </row>
    <row r="16" spans="1:13" x14ac:dyDescent="0.3">
      <c r="A16" s="162">
        <v>15</v>
      </c>
      <c r="B16" t="s">
        <v>325</v>
      </c>
      <c r="C16" s="162">
        <v>138</v>
      </c>
      <c r="D16" s="162">
        <v>5</v>
      </c>
      <c r="E16" s="162">
        <v>4</v>
      </c>
      <c r="F16" s="162">
        <v>5</v>
      </c>
      <c r="G16" s="162">
        <v>1</v>
      </c>
      <c r="H16" s="162">
        <v>0.83</v>
      </c>
      <c r="I16" s="162">
        <v>0.71</v>
      </c>
      <c r="J16" s="162">
        <v>5.34</v>
      </c>
      <c r="K16" s="162">
        <v>73.8</v>
      </c>
      <c r="L16" s="162">
        <v>20.2</v>
      </c>
      <c r="M16" s="162">
        <v>13</v>
      </c>
    </row>
    <row r="17" spans="1:13" x14ac:dyDescent="0.3">
      <c r="A17" s="162">
        <v>16</v>
      </c>
      <c r="B17" t="s">
        <v>79</v>
      </c>
      <c r="C17" s="162">
        <v>97</v>
      </c>
      <c r="D17" s="162">
        <v>5</v>
      </c>
      <c r="E17" s="162">
        <v>5</v>
      </c>
      <c r="F17" s="162">
        <v>4</v>
      </c>
      <c r="G17" s="162">
        <v>1</v>
      </c>
      <c r="H17" s="162">
        <v>0.94</v>
      </c>
      <c r="I17" s="162">
        <v>1.02</v>
      </c>
      <c r="J17" s="162">
        <v>11.52</v>
      </c>
      <c r="K17" s="162">
        <v>68.099999999999994</v>
      </c>
      <c r="L17" s="162">
        <v>5.8</v>
      </c>
      <c r="M17" s="162">
        <v>18</v>
      </c>
    </row>
    <row r="18" spans="1:13" x14ac:dyDescent="0.3">
      <c r="A18" s="162">
        <v>17</v>
      </c>
      <c r="B18" t="s">
        <v>210</v>
      </c>
      <c r="C18" s="162">
        <v>39</v>
      </c>
      <c r="D18" s="162">
        <v>5</v>
      </c>
      <c r="E18" s="162">
        <v>5</v>
      </c>
      <c r="F18" s="162">
        <v>4</v>
      </c>
      <c r="G18" s="162">
        <v>1</v>
      </c>
      <c r="H18" s="162">
        <v>2.57</v>
      </c>
      <c r="I18" s="162">
        <v>1</v>
      </c>
      <c r="J18" s="162">
        <v>0</v>
      </c>
      <c r="K18" s="162">
        <v>83.3</v>
      </c>
      <c r="L18" s="162">
        <v>22.2</v>
      </c>
      <c r="M18" s="162">
        <v>11</v>
      </c>
    </row>
    <row r="19" spans="1:13" x14ac:dyDescent="0.3">
      <c r="A19" s="162">
        <v>18</v>
      </c>
      <c r="B19" t="s">
        <v>35</v>
      </c>
      <c r="C19" s="162">
        <v>53</v>
      </c>
      <c r="D19" s="162">
        <v>4</v>
      </c>
      <c r="E19" s="162">
        <v>4</v>
      </c>
      <c r="F19" s="162">
        <v>4</v>
      </c>
      <c r="G19" s="162">
        <v>1</v>
      </c>
      <c r="H19" s="162">
        <v>0.9</v>
      </c>
      <c r="I19" s="162">
        <v>0.69</v>
      </c>
      <c r="J19" s="162">
        <v>17.82</v>
      </c>
      <c r="K19" s="162">
        <v>59.1</v>
      </c>
      <c r="L19" s="162">
        <v>13.6</v>
      </c>
      <c r="M19" s="162">
        <v>16</v>
      </c>
    </row>
    <row r="20" spans="1:13" x14ac:dyDescent="0.3">
      <c r="A20" s="162">
        <v>19</v>
      </c>
      <c r="B20" t="s">
        <v>112</v>
      </c>
      <c r="C20" s="162">
        <v>92</v>
      </c>
      <c r="D20" s="162"/>
      <c r="E20" s="162"/>
      <c r="F20" s="162">
        <v>4</v>
      </c>
      <c r="G20" s="162">
        <v>0</v>
      </c>
      <c r="H20" s="162">
        <v>1.9</v>
      </c>
      <c r="I20" s="162">
        <v>1.81</v>
      </c>
      <c r="J20" s="162">
        <v>8.35</v>
      </c>
      <c r="K20" s="162">
        <v>31.9</v>
      </c>
      <c r="L20" s="162">
        <v>12.8</v>
      </c>
      <c r="M20" s="162">
        <v>17</v>
      </c>
    </row>
    <row r="21" spans="1:13" x14ac:dyDescent="0.3">
      <c r="A21" s="162">
        <v>20</v>
      </c>
      <c r="B21" t="s">
        <v>21</v>
      </c>
      <c r="C21" s="162">
        <v>107</v>
      </c>
      <c r="D21" s="162">
        <v>4</v>
      </c>
      <c r="E21" s="162">
        <v>3</v>
      </c>
      <c r="F21" s="162">
        <v>4</v>
      </c>
      <c r="G21" s="162">
        <v>1</v>
      </c>
      <c r="H21" s="162">
        <v>2.04</v>
      </c>
      <c r="I21" s="162">
        <v>1.18</v>
      </c>
      <c r="J21" s="162">
        <v>9.32</v>
      </c>
      <c r="K21" s="162">
        <v>58.6</v>
      </c>
      <c r="L21" s="162">
        <v>5.2</v>
      </c>
      <c r="M21" s="162">
        <v>17</v>
      </c>
    </row>
    <row r="22" spans="1:13" x14ac:dyDescent="0.3">
      <c r="A22" s="162">
        <v>21</v>
      </c>
      <c r="B22" t="s">
        <v>82</v>
      </c>
      <c r="C22" s="162">
        <v>75</v>
      </c>
      <c r="D22" s="162">
        <v>5</v>
      </c>
      <c r="E22" s="162">
        <v>5</v>
      </c>
      <c r="F22" s="162">
        <v>4</v>
      </c>
      <c r="G22" s="162">
        <v>1</v>
      </c>
      <c r="H22" s="162">
        <v>0.77</v>
      </c>
      <c r="I22" s="162">
        <v>0.69</v>
      </c>
      <c r="J22" s="162">
        <v>4.7699999999999996</v>
      </c>
      <c r="K22" s="162">
        <v>90</v>
      </c>
      <c r="L22" s="162">
        <v>10</v>
      </c>
      <c r="M22" s="162">
        <v>17</v>
      </c>
    </row>
    <row r="23" spans="1:13" x14ac:dyDescent="0.3">
      <c r="A23" s="162">
        <v>22</v>
      </c>
      <c r="B23" t="s">
        <v>326</v>
      </c>
      <c r="C23" s="162">
        <v>35</v>
      </c>
      <c r="D23" s="162">
        <v>2</v>
      </c>
      <c r="E23" s="162">
        <v>3</v>
      </c>
      <c r="F23" s="162">
        <v>4</v>
      </c>
      <c r="G23" s="162">
        <v>1</v>
      </c>
      <c r="H23" s="162">
        <v>1.98</v>
      </c>
      <c r="I23" s="162">
        <v>1.01</v>
      </c>
      <c r="J23" s="162">
        <v>5.85</v>
      </c>
      <c r="K23" s="162">
        <v>70.400000000000006</v>
      </c>
      <c r="L23" s="162">
        <v>29.6</v>
      </c>
      <c r="M23" s="162">
        <v>19</v>
      </c>
    </row>
    <row r="24" spans="1:13" x14ac:dyDescent="0.3">
      <c r="A24" s="162">
        <v>23</v>
      </c>
      <c r="B24" t="s">
        <v>106</v>
      </c>
      <c r="C24" s="162">
        <v>40</v>
      </c>
      <c r="D24" s="162">
        <v>3</v>
      </c>
      <c r="E24" s="162">
        <v>4</v>
      </c>
      <c r="F24" s="162">
        <v>4</v>
      </c>
      <c r="G24" s="162">
        <v>1</v>
      </c>
      <c r="H24" s="162">
        <v>1.18</v>
      </c>
      <c r="I24" s="162">
        <v>0.84</v>
      </c>
      <c r="J24" s="162">
        <v>9.9700000000000006</v>
      </c>
      <c r="K24" s="162">
        <v>79.2</v>
      </c>
      <c r="L24" s="162">
        <v>12.5</v>
      </c>
      <c r="M24" s="162">
        <v>18</v>
      </c>
    </row>
    <row r="25" spans="1:13" x14ac:dyDescent="0.3">
      <c r="A25" s="162">
        <v>24</v>
      </c>
      <c r="B25" t="s">
        <v>327</v>
      </c>
      <c r="C25" s="162">
        <v>48</v>
      </c>
      <c r="D25" s="162">
        <v>4</v>
      </c>
      <c r="E25" s="162">
        <v>4</v>
      </c>
      <c r="F25" s="162">
        <v>4</v>
      </c>
      <c r="G25" s="162">
        <v>1</v>
      </c>
      <c r="H25" s="162">
        <v>1.75</v>
      </c>
      <c r="I25" s="162">
        <v>1.4</v>
      </c>
      <c r="J25" s="162">
        <v>8.6999999999999993</v>
      </c>
      <c r="K25" s="162">
        <v>70.599999999999994</v>
      </c>
      <c r="L25" s="162">
        <v>29.4</v>
      </c>
      <c r="M25" s="162">
        <v>13</v>
      </c>
    </row>
    <row r="26" spans="1:13" x14ac:dyDescent="0.3">
      <c r="A26" s="162">
        <v>25</v>
      </c>
      <c r="B26" t="s">
        <v>233</v>
      </c>
      <c r="C26" s="162">
        <v>57</v>
      </c>
      <c r="D26" s="162"/>
      <c r="E26" s="162"/>
      <c r="F26" s="162">
        <v>4</v>
      </c>
      <c r="G26" s="162">
        <v>0</v>
      </c>
      <c r="H26" s="162">
        <v>0.9</v>
      </c>
      <c r="I26" s="162">
        <v>0.65</v>
      </c>
      <c r="J26" s="162">
        <v>6.08</v>
      </c>
      <c r="K26" s="162">
        <v>79.2</v>
      </c>
      <c r="L26" s="162">
        <v>20.8</v>
      </c>
      <c r="M26" s="162">
        <v>26</v>
      </c>
    </row>
    <row r="27" spans="1:13" x14ac:dyDescent="0.3">
      <c r="A27" s="162">
        <v>26</v>
      </c>
      <c r="B27" t="s">
        <v>328</v>
      </c>
      <c r="C27" s="162">
        <v>35</v>
      </c>
      <c r="D27" s="162"/>
      <c r="E27" s="162"/>
      <c r="F27" s="162">
        <v>4</v>
      </c>
      <c r="G27" s="162">
        <v>0</v>
      </c>
      <c r="H27" s="162">
        <v>0.85</v>
      </c>
      <c r="I27" s="162">
        <v>0.82</v>
      </c>
      <c r="J27" s="162">
        <v>12.5</v>
      </c>
      <c r="K27" s="162">
        <v>84.6</v>
      </c>
      <c r="L27" s="162">
        <v>38.5</v>
      </c>
      <c r="M27" s="162">
        <v>18</v>
      </c>
    </row>
    <row r="28" spans="1:13" x14ac:dyDescent="0.3">
      <c r="A28" s="162">
        <v>27</v>
      </c>
      <c r="B28" t="s">
        <v>329</v>
      </c>
      <c r="C28" s="162">
        <v>93</v>
      </c>
      <c r="D28" s="162">
        <v>4</v>
      </c>
      <c r="E28" s="162">
        <v>4</v>
      </c>
      <c r="F28" s="162">
        <v>4</v>
      </c>
      <c r="G28" s="162">
        <v>1</v>
      </c>
      <c r="H28" s="162">
        <v>0.81</v>
      </c>
      <c r="I28" s="162">
        <v>0.73</v>
      </c>
      <c r="J28" s="162">
        <v>3.1</v>
      </c>
      <c r="K28" s="162">
        <v>52.2</v>
      </c>
      <c r="L28" s="162">
        <v>30.4</v>
      </c>
      <c r="M28" s="162">
        <v>18</v>
      </c>
    </row>
    <row r="29" spans="1:13" x14ac:dyDescent="0.3">
      <c r="A29" s="162">
        <v>28</v>
      </c>
      <c r="B29" t="s">
        <v>105</v>
      </c>
      <c r="C29" s="162">
        <v>127</v>
      </c>
      <c r="D29" s="162">
        <v>3</v>
      </c>
      <c r="E29" s="162">
        <v>3</v>
      </c>
      <c r="F29" s="162">
        <v>4</v>
      </c>
      <c r="G29" s="162">
        <v>1</v>
      </c>
      <c r="H29" s="162">
        <v>1.83</v>
      </c>
      <c r="I29" s="162">
        <v>2.41</v>
      </c>
      <c r="J29" s="162">
        <v>8.5299999999999994</v>
      </c>
      <c r="K29" s="162">
        <v>53</v>
      </c>
      <c r="L29" s="162">
        <v>3.6</v>
      </c>
      <c r="M29" s="162">
        <v>15</v>
      </c>
    </row>
    <row r="30" spans="1:13" x14ac:dyDescent="0.3">
      <c r="A30" s="162">
        <v>29</v>
      </c>
      <c r="B30" t="s">
        <v>54</v>
      </c>
      <c r="C30" s="162">
        <v>184</v>
      </c>
      <c r="D30" s="162">
        <v>4</v>
      </c>
      <c r="E30" s="162">
        <v>5</v>
      </c>
      <c r="F30" s="162">
        <v>4</v>
      </c>
      <c r="G30" s="162">
        <v>1</v>
      </c>
      <c r="H30" s="162">
        <v>2.9</v>
      </c>
      <c r="I30" s="162">
        <v>2.34</v>
      </c>
      <c r="J30" s="162">
        <v>31.75</v>
      </c>
      <c r="K30" s="162">
        <v>63.9</v>
      </c>
      <c r="L30" s="162">
        <v>5.6</v>
      </c>
      <c r="M30" s="162">
        <v>21.5</v>
      </c>
    </row>
    <row r="31" spans="1:13" x14ac:dyDescent="0.3">
      <c r="A31" s="162">
        <v>30</v>
      </c>
      <c r="B31" t="s">
        <v>330</v>
      </c>
      <c r="C31" s="162">
        <v>64</v>
      </c>
      <c r="D31" s="162">
        <v>4</v>
      </c>
      <c r="E31" s="162">
        <v>3</v>
      </c>
      <c r="F31" s="162">
        <v>4</v>
      </c>
      <c r="G31" s="162">
        <v>1</v>
      </c>
      <c r="H31" s="162">
        <v>1.1100000000000001</v>
      </c>
      <c r="I31" s="162">
        <v>1.42</v>
      </c>
      <c r="J31" s="162">
        <v>2.52</v>
      </c>
      <c r="K31" s="162">
        <v>77.099999999999994</v>
      </c>
      <c r="L31" s="162">
        <v>20</v>
      </c>
      <c r="M31" s="162">
        <v>15</v>
      </c>
    </row>
    <row r="32" spans="1:13" x14ac:dyDescent="0.3">
      <c r="A32" s="162">
        <v>31</v>
      </c>
      <c r="B32" t="s">
        <v>68</v>
      </c>
      <c r="C32" s="162">
        <v>146</v>
      </c>
      <c r="D32" s="162">
        <v>5</v>
      </c>
      <c r="E32" s="162">
        <v>5</v>
      </c>
      <c r="F32" s="162">
        <v>4</v>
      </c>
      <c r="G32" s="162">
        <v>1</v>
      </c>
      <c r="H32" s="162">
        <v>1.4</v>
      </c>
      <c r="I32" s="162">
        <v>1.06</v>
      </c>
      <c r="J32" s="162">
        <v>6.18</v>
      </c>
      <c r="K32" s="162">
        <v>55.1</v>
      </c>
      <c r="L32" s="162">
        <v>15.4</v>
      </c>
      <c r="M32" s="162">
        <v>18</v>
      </c>
    </row>
    <row r="33" spans="1:13" x14ac:dyDescent="0.3">
      <c r="A33" s="162">
        <v>32</v>
      </c>
      <c r="B33" t="s">
        <v>44</v>
      </c>
      <c r="C33" s="162">
        <v>247</v>
      </c>
      <c r="D33" s="162">
        <v>5</v>
      </c>
      <c r="E33" s="162">
        <v>4</v>
      </c>
      <c r="F33" s="162">
        <v>4</v>
      </c>
      <c r="G33" s="162">
        <v>1</v>
      </c>
      <c r="H33" s="162">
        <v>1.28</v>
      </c>
      <c r="I33" s="162">
        <v>1.61</v>
      </c>
      <c r="J33" s="162">
        <v>11.05</v>
      </c>
      <c r="K33" s="162">
        <v>43.1</v>
      </c>
      <c r="L33" s="162">
        <v>3.3</v>
      </c>
      <c r="M33" s="162">
        <v>12</v>
      </c>
    </row>
    <row r="34" spans="1:13" x14ac:dyDescent="0.3">
      <c r="A34" s="162">
        <v>33</v>
      </c>
      <c r="B34" t="s">
        <v>331</v>
      </c>
      <c r="C34" s="162">
        <v>32</v>
      </c>
      <c r="D34" s="162"/>
      <c r="E34" s="162"/>
      <c r="F34" s="162">
        <v>4</v>
      </c>
      <c r="G34" s="162">
        <v>0</v>
      </c>
      <c r="H34" s="162">
        <v>1.1399999999999999</v>
      </c>
      <c r="I34" s="162">
        <v>0.69</v>
      </c>
      <c r="J34" s="162">
        <v>3.55</v>
      </c>
      <c r="K34" s="162">
        <v>62.5</v>
      </c>
      <c r="L34" s="162">
        <v>6.2</v>
      </c>
      <c r="M34" s="162">
        <v>17</v>
      </c>
    </row>
    <row r="35" spans="1:13" x14ac:dyDescent="0.3">
      <c r="A35" s="162">
        <v>34</v>
      </c>
      <c r="B35" t="s">
        <v>58</v>
      </c>
      <c r="C35" s="162">
        <v>67</v>
      </c>
      <c r="D35" s="162">
        <v>4</v>
      </c>
      <c r="E35" s="162">
        <v>3</v>
      </c>
      <c r="F35" s="162">
        <v>4</v>
      </c>
      <c r="G35" s="162">
        <v>1</v>
      </c>
      <c r="H35" s="162">
        <v>0.99</v>
      </c>
      <c r="I35" s="162">
        <v>0.61</v>
      </c>
      <c r="J35" s="162">
        <v>11.35</v>
      </c>
      <c r="K35" s="162">
        <v>13.3</v>
      </c>
      <c r="L35" s="162">
        <v>13.3</v>
      </c>
      <c r="M35" s="162">
        <v>17</v>
      </c>
    </row>
    <row r="36" spans="1:13" x14ac:dyDescent="0.3">
      <c r="A36" s="162">
        <v>35</v>
      </c>
      <c r="B36" t="s">
        <v>42</v>
      </c>
      <c r="C36" s="162">
        <v>139</v>
      </c>
      <c r="D36" s="162">
        <v>5</v>
      </c>
      <c r="E36" s="162">
        <v>5</v>
      </c>
      <c r="F36" s="162">
        <v>4</v>
      </c>
      <c r="G36" s="162">
        <v>1</v>
      </c>
      <c r="H36" s="162">
        <v>0.84</v>
      </c>
      <c r="I36" s="162">
        <v>0.68</v>
      </c>
      <c r="J36" s="162">
        <v>10.15</v>
      </c>
      <c r="K36" s="162">
        <v>90.5</v>
      </c>
      <c r="L36" s="162">
        <v>29.7</v>
      </c>
      <c r="M36" s="162">
        <v>16</v>
      </c>
    </row>
    <row r="37" spans="1:13" x14ac:dyDescent="0.3">
      <c r="A37" s="162">
        <v>36</v>
      </c>
      <c r="B37" t="s">
        <v>110</v>
      </c>
      <c r="C37" s="162">
        <v>106</v>
      </c>
      <c r="D37" s="162">
        <v>5</v>
      </c>
      <c r="E37" s="162">
        <v>5</v>
      </c>
      <c r="F37" s="162">
        <v>4</v>
      </c>
      <c r="G37" s="162">
        <v>1</v>
      </c>
      <c r="H37" s="162">
        <v>2.31</v>
      </c>
      <c r="I37" s="162">
        <v>1.38</v>
      </c>
      <c r="J37" s="162">
        <v>2.2000000000000002</v>
      </c>
      <c r="K37" s="162">
        <v>65.900000000000006</v>
      </c>
      <c r="L37" s="162">
        <v>22</v>
      </c>
      <c r="M37" s="162">
        <v>15</v>
      </c>
    </row>
    <row r="38" spans="1:13" x14ac:dyDescent="0.3">
      <c r="A38" s="162">
        <v>37</v>
      </c>
      <c r="B38" t="s">
        <v>332</v>
      </c>
      <c r="C38" s="162">
        <v>27</v>
      </c>
      <c r="D38" s="162"/>
      <c r="E38" s="162"/>
      <c r="F38" s="162">
        <v>4</v>
      </c>
      <c r="G38" s="162">
        <v>0</v>
      </c>
      <c r="H38" s="162">
        <v>0.76</v>
      </c>
      <c r="I38" s="162">
        <v>0.79</v>
      </c>
      <c r="J38" s="162">
        <v>5.99</v>
      </c>
      <c r="K38" s="162">
        <v>83.3</v>
      </c>
      <c r="L38" s="162">
        <v>16.7</v>
      </c>
      <c r="M38" s="162">
        <v>9</v>
      </c>
    </row>
    <row r="39" spans="1:13" x14ac:dyDescent="0.3">
      <c r="A39" s="162">
        <v>38</v>
      </c>
      <c r="B39" t="s">
        <v>333</v>
      </c>
      <c r="C39" s="162">
        <v>6</v>
      </c>
      <c r="D39" s="162"/>
      <c r="E39" s="162"/>
      <c r="F39" s="162">
        <v>4</v>
      </c>
      <c r="G39" s="162">
        <v>0</v>
      </c>
      <c r="H39" s="162">
        <v>1.26</v>
      </c>
      <c r="I39" s="162"/>
      <c r="J39" s="162">
        <v>0</v>
      </c>
      <c r="K39" s="162"/>
      <c r="L39" s="162"/>
      <c r="M39" s="162"/>
    </row>
    <row r="40" spans="1:13" x14ac:dyDescent="0.3">
      <c r="A40" s="162">
        <v>39</v>
      </c>
      <c r="B40" t="s">
        <v>334</v>
      </c>
      <c r="C40" s="162">
        <v>21</v>
      </c>
      <c r="D40" s="162"/>
      <c r="E40" s="162"/>
      <c r="F40" s="162">
        <v>4</v>
      </c>
      <c r="G40" s="162">
        <v>0</v>
      </c>
      <c r="H40" s="162">
        <v>0.81</v>
      </c>
      <c r="I40" s="162">
        <v>0.69</v>
      </c>
      <c r="J40" s="162">
        <v>12.01</v>
      </c>
      <c r="K40" s="162">
        <v>72.7</v>
      </c>
      <c r="L40" s="162">
        <v>9.1</v>
      </c>
      <c r="M40" s="162">
        <v>17</v>
      </c>
    </row>
    <row r="41" spans="1:13" x14ac:dyDescent="0.3">
      <c r="A41" s="162">
        <v>40</v>
      </c>
      <c r="B41" t="s">
        <v>34</v>
      </c>
      <c r="C41" s="162">
        <v>34</v>
      </c>
      <c r="D41" s="162">
        <v>5</v>
      </c>
      <c r="E41" s="162">
        <v>4</v>
      </c>
      <c r="F41" s="162">
        <v>4</v>
      </c>
      <c r="G41" s="162">
        <v>1</v>
      </c>
      <c r="H41" s="162">
        <v>0.67</v>
      </c>
      <c r="I41" s="162">
        <v>0.51</v>
      </c>
      <c r="J41" s="162">
        <v>9.86</v>
      </c>
      <c r="K41" s="162">
        <v>39.299999999999997</v>
      </c>
      <c r="L41" s="162">
        <v>10.7</v>
      </c>
      <c r="M41" s="162">
        <v>18</v>
      </c>
    </row>
    <row r="42" spans="1:13" x14ac:dyDescent="0.3">
      <c r="A42" s="162">
        <v>41</v>
      </c>
      <c r="B42" t="s">
        <v>268</v>
      </c>
      <c r="C42" s="162">
        <v>91</v>
      </c>
      <c r="D42" s="162">
        <v>3</v>
      </c>
      <c r="E42" s="162">
        <v>3</v>
      </c>
      <c r="F42" s="162">
        <v>4</v>
      </c>
      <c r="G42" s="162">
        <v>1</v>
      </c>
      <c r="H42" s="162">
        <v>2.77</v>
      </c>
      <c r="I42" s="162">
        <v>1.1100000000000001</v>
      </c>
      <c r="J42" s="162">
        <v>0</v>
      </c>
      <c r="K42" s="162">
        <v>45.2</v>
      </c>
      <c r="L42" s="162">
        <v>32.299999999999997</v>
      </c>
      <c r="M42" s="162">
        <v>16</v>
      </c>
    </row>
    <row r="43" spans="1:13" x14ac:dyDescent="0.3">
      <c r="A43" s="162">
        <v>42</v>
      </c>
      <c r="B43" t="s">
        <v>335</v>
      </c>
      <c r="C43" s="162">
        <v>23</v>
      </c>
      <c r="D43" s="162">
        <v>2</v>
      </c>
      <c r="E43" s="162">
        <v>3</v>
      </c>
      <c r="F43" s="162">
        <v>4</v>
      </c>
      <c r="G43" s="162">
        <v>1</v>
      </c>
      <c r="H43" s="162">
        <v>1.77</v>
      </c>
      <c r="I43" s="162">
        <v>1.1100000000000001</v>
      </c>
      <c r="J43" s="162">
        <v>0</v>
      </c>
      <c r="K43" s="162">
        <v>57.1</v>
      </c>
      <c r="L43" s="162">
        <v>7.1</v>
      </c>
      <c r="M43" s="162">
        <v>14</v>
      </c>
    </row>
    <row r="44" spans="1:13" x14ac:dyDescent="0.3">
      <c r="A44" s="162">
        <v>43</v>
      </c>
      <c r="B44" t="s">
        <v>220</v>
      </c>
      <c r="C44" s="162">
        <v>31</v>
      </c>
      <c r="D44" s="162">
        <v>4</v>
      </c>
      <c r="E44" s="162">
        <v>3</v>
      </c>
      <c r="F44" s="162">
        <v>4</v>
      </c>
      <c r="G44" s="162">
        <v>1</v>
      </c>
      <c r="H44" s="162">
        <v>1.92</v>
      </c>
      <c r="I44" s="162">
        <v>1.32</v>
      </c>
      <c r="J44" s="162">
        <v>58.82</v>
      </c>
      <c r="K44" s="162">
        <v>84.6</v>
      </c>
      <c r="L44" s="162">
        <v>30.8</v>
      </c>
      <c r="M44" s="162">
        <v>14</v>
      </c>
    </row>
    <row r="45" spans="1:13" x14ac:dyDescent="0.3">
      <c r="A45" s="162">
        <v>44</v>
      </c>
      <c r="B45" t="s">
        <v>77</v>
      </c>
      <c r="C45" s="162">
        <v>62</v>
      </c>
      <c r="D45" s="162"/>
      <c r="E45" s="162"/>
      <c r="F45" s="162">
        <v>4</v>
      </c>
      <c r="G45" s="162">
        <v>0</v>
      </c>
      <c r="H45" s="162">
        <v>0.9</v>
      </c>
      <c r="I45" s="162">
        <v>0.56999999999999995</v>
      </c>
      <c r="J45" s="162">
        <v>8.85</v>
      </c>
      <c r="K45" s="162">
        <v>88.9</v>
      </c>
      <c r="L45" s="162">
        <v>22.2</v>
      </c>
      <c r="M45" s="162">
        <v>19.5</v>
      </c>
    </row>
    <row r="46" spans="1:13" x14ac:dyDescent="0.3">
      <c r="A46" s="162">
        <v>45</v>
      </c>
      <c r="B46" t="s">
        <v>336</v>
      </c>
      <c r="C46" s="162">
        <v>154</v>
      </c>
      <c r="D46" s="162">
        <v>4</v>
      </c>
      <c r="E46" s="162">
        <v>4</v>
      </c>
      <c r="F46" s="162">
        <v>4</v>
      </c>
      <c r="G46" s="162">
        <v>1</v>
      </c>
      <c r="H46" s="162">
        <v>1.59</v>
      </c>
      <c r="I46" s="162">
        <v>1.0900000000000001</v>
      </c>
      <c r="J46" s="162">
        <v>5.81</v>
      </c>
      <c r="K46" s="162">
        <v>66.099999999999994</v>
      </c>
      <c r="L46" s="162">
        <v>10.7</v>
      </c>
      <c r="M46" s="162">
        <v>15</v>
      </c>
    </row>
    <row r="47" spans="1:13" x14ac:dyDescent="0.3">
      <c r="A47" s="162">
        <v>46</v>
      </c>
      <c r="B47" t="s">
        <v>337</v>
      </c>
      <c r="C47" s="162">
        <v>78</v>
      </c>
      <c r="D47" s="162">
        <v>4</v>
      </c>
      <c r="E47" s="162">
        <v>3</v>
      </c>
      <c r="F47" s="162">
        <v>4</v>
      </c>
      <c r="G47" s="162">
        <v>1</v>
      </c>
      <c r="H47" s="162">
        <v>1.69</v>
      </c>
      <c r="I47" s="162">
        <v>1.69</v>
      </c>
      <c r="J47" s="162">
        <v>4.28</v>
      </c>
      <c r="K47" s="162">
        <v>52.2</v>
      </c>
      <c r="L47" s="162">
        <v>6.5</v>
      </c>
      <c r="M47" s="162">
        <v>19</v>
      </c>
    </row>
    <row r="48" spans="1:13" x14ac:dyDescent="0.3">
      <c r="A48" s="162">
        <v>47</v>
      </c>
      <c r="B48" t="s">
        <v>91</v>
      </c>
      <c r="C48" s="162">
        <v>30</v>
      </c>
      <c r="D48" s="162"/>
      <c r="E48" s="162"/>
      <c r="F48" s="162">
        <v>3</v>
      </c>
      <c r="G48" s="162">
        <v>0</v>
      </c>
      <c r="H48" s="162">
        <v>1.57</v>
      </c>
      <c r="I48" s="162">
        <v>0.93</v>
      </c>
      <c r="J48" s="162">
        <v>4.63</v>
      </c>
      <c r="K48" s="162">
        <v>89.5</v>
      </c>
      <c r="L48" s="162">
        <v>15.8</v>
      </c>
      <c r="M48" s="162">
        <v>14</v>
      </c>
    </row>
    <row r="49" spans="1:13" x14ac:dyDescent="0.3">
      <c r="A49" s="162">
        <v>48</v>
      </c>
      <c r="B49" t="s">
        <v>338</v>
      </c>
      <c r="C49" s="162">
        <v>38</v>
      </c>
      <c r="D49" s="162"/>
      <c r="E49" s="162"/>
      <c r="F49" s="162">
        <v>3</v>
      </c>
      <c r="G49" s="162">
        <v>0</v>
      </c>
      <c r="H49" s="162">
        <v>1.32</v>
      </c>
      <c r="I49" s="162">
        <v>0.56000000000000005</v>
      </c>
      <c r="J49" s="162">
        <v>22.56</v>
      </c>
      <c r="K49" s="162">
        <v>100</v>
      </c>
      <c r="L49" s="162">
        <v>0</v>
      </c>
      <c r="M49" s="162">
        <v>16.5</v>
      </c>
    </row>
    <row r="50" spans="1:13" x14ac:dyDescent="0.3">
      <c r="A50" s="162">
        <v>49</v>
      </c>
      <c r="B50" t="s">
        <v>33</v>
      </c>
      <c r="C50" s="162">
        <v>79</v>
      </c>
      <c r="D50" s="162">
        <v>5</v>
      </c>
      <c r="E50" s="162">
        <v>5</v>
      </c>
      <c r="F50" s="162">
        <v>3</v>
      </c>
      <c r="G50" s="162">
        <v>1</v>
      </c>
      <c r="H50" s="162">
        <v>1.23</v>
      </c>
      <c r="I50" s="162">
        <v>0.99</v>
      </c>
      <c r="J50" s="162">
        <v>4.88</v>
      </c>
      <c r="K50" s="162">
        <v>62.5</v>
      </c>
      <c r="L50" s="162">
        <v>6.2</v>
      </c>
      <c r="M50" s="162">
        <v>14.5</v>
      </c>
    </row>
    <row r="51" spans="1:13" x14ac:dyDescent="0.3">
      <c r="A51" s="162">
        <v>50</v>
      </c>
      <c r="B51" t="s">
        <v>271</v>
      </c>
      <c r="C51" s="162">
        <v>34</v>
      </c>
      <c r="D51" s="162">
        <v>2</v>
      </c>
      <c r="E51" s="162">
        <v>3</v>
      </c>
      <c r="F51" s="162">
        <v>3</v>
      </c>
      <c r="G51" s="162">
        <v>1</v>
      </c>
      <c r="H51" s="162">
        <v>0.99</v>
      </c>
      <c r="I51" s="162">
        <v>0.65</v>
      </c>
      <c r="J51" s="162">
        <v>44.78</v>
      </c>
      <c r="K51" s="162">
        <v>91.7</v>
      </c>
      <c r="L51" s="162">
        <v>8.3000000000000007</v>
      </c>
      <c r="M51" s="162">
        <v>16</v>
      </c>
    </row>
    <row r="52" spans="1:13" x14ac:dyDescent="0.3">
      <c r="A52" s="162">
        <v>51</v>
      </c>
      <c r="B52" t="s">
        <v>37</v>
      </c>
      <c r="C52" s="162">
        <v>184</v>
      </c>
      <c r="D52" s="162">
        <v>5</v>
      </c>
      <c r="E52" s="162">
        <v>5</v>
      </c>
      <c r="F52" s="162">
        <v>3</v>
      </c>
      <c r="G52" s="162">
        <v>1</v>
      </c>
      <c r="H52" s="162">
        <v>1.91</v>
      </c>
      <c r="I52" s="162">
        <v>1.66</v>
      </c>
      <c r="J52" s="162">
        <v>6.21</v>
      </c>
      <c r="K52" s="162">
        <v>40.4</v>
      </c>
      <c r="L52" s="162">
        <v>5.6</v>
      </c>
      <c r="M52" s="162">
        <v>14</v>
      </c>
    </row>
    <row r="53" spans="1:13" x14ac:dyDescent="0.3">
      <c r="A53" s="162">
        <v>52</v>
      </c>
      <c r="B53" t="s">
        <v>48</v>
      </c>
      <c r="C53" s="162">
        <v>62</v>
      </c>
      <c r="D53" s="162">
        <v>4</v>
      </c>
      <c r="E53" s="162">
        <v>3</v>
      </c>
      <c r="F53" s="162">
        <v>3</v>
      </c>
      <c r="G53" s="162">
        <v>1</v>
      </c>
      <c r="H53" s="162">
        <v>0.76</v>
      </c>
      <c r="I53" s="162">
        <v>0.98</v>
      </c>
      <c r="J53" s="162">
        <v>0.8</v>
      </c>
      <c r="K53" s="162">
        <v>54.5</v>
      </c>
      <c r="L53" s="162">
        <v>0</v>
      </c>
      <c r="M53" s="162">
        <v>26</v>
      </c>
    </row>
    <row r="54" spans="1:13" x14ac:dyDescent="0.3">
      <c r="A54" s="162">
        <v>53</v>
      </c>
      <c r="B54" t="s">
        <v>339</v>
      </c>
      <c r="C54" s="162">
        <v>55</v>
      </c>
      <c r="D54" s="162">
        <v>5</v>
      </c>
      <c r="E54" s="162">
        <v>5</v>
      </c>
      <c r="F54" s="162">
        <v>3</v>
      </c>
      <c r="G54" s="162">
        <v>1</v>
      </c>
      <c r="H54" s="162">
        <v>1.96</v>
      </c>
      <c r="I54" s="162">
        <v>1.52</v>
      </c>
      <c r="J54" s="162">
        <v>5.49</v>
      </c>
      <c r="K54" s="162">
        <v>100</v>
      </c>
      <c r="L54" s="162">
        <v>23.5</v>
      </c>
      <c r="M54" s="162">
        <v>15</v>
      </c>
    </row>
    <row r="55" spans="1:13" x14ac:dyDescent="0.3">
      <c r="A55" s="162">
        <v>54</v>
      </c>
      <c r="B55" t="s">
        <v>340</v>
      </c>
      <c r="C55" s="162">
        <v>16</v>
      </c>
      <c r="D55" s="162"/>
      <c r="E55" s="162"/>
      <c r="F55" s="162">
        <v>3</v>
      </c>
      <c r="G55" s="162">
        <v>0</v>
      </c>
      <c r="H55" s="162">
        <v>0.67</v>
      </c>
      <c r="I55" s="162">
        <v>0.44</v>
      </c>
      <c r="J55" s="162">
        <v>10.5</v>
      </c>
      <c r="K55" s="162">
        <v>66.7</v>
      </c>
      <c r="L55" s="162">
        <v>16.7</v>
      </c>
      <c r="M55" s="162">
        <v>22</v>
      </c>
    </row>
    <row r="56" spans="1:13" x14ac:dyDescent="0.3">
      <c r="A56" s="162">
        <v>55</v>
      </c>
      <c r="B56" t="s">
        <v>131</v>
      </c>
      <c r="C56" s="162">
        <v>44</v>
      </c>
      <c r="D56" s="162"/>
      <c r="E56" s="162"/>
      <c r="F56" s="162">
        <v>3</v>
      </c>
      <c r="G56" s="162">
        <v>0</v>
      </c>
      <c r="H56" s="162">
        <v>1.06</v>
      </c>
      <c r="I56" s="162">
        <v>1.08</v>
      </c>
      <c r="J56" s="162">
        <v>4.55</v>
      </c>
      <c r="K56" s="162">
        <v>94.7</v>
      </c>
      <c r="L56" s="162">
        <v>26.3</v>
      </c>
      <c r="M56" s="162">
        <v>17</v>
      </c>
    </row>
    <row r="57" spans="1:13" x14ac:dyDescent="0.3">
      <c r="A57" s="162">
        <v>56</v>
      </c>
      <c r="B57" t="s">
        <v>29</v>
      </c>
      <c r="C57" s="162">
        <v>67</v>
      </c>
      <c r="D57" s="162"/>
      <c r="E57" s="162"/>
      <c r="F57" s="162">
        <v>3</v>
      </c>
      <c r="G57" s="162">
        <v>0</v>
      </c>
      <c r="H57" s="162">
        <v>0.9</v>
      </c>
      <c r="I57" s="162">
        <v>1.0900000000000001</v>
      </c>
      <c r="J57" s="162">
        <v>19.61</v>
      </c>
      <c r="K57" s="162">
        <v>64.3</v>
      </c>
      <c r="L57" s="162">
        <v>21.4</v>
      </c>
      <c r="M57" s="162">
        <v>21</v>
      </c>
    </row>
    <row r="58" spans="1:13" x14ac:dyDescent="0.3">
      <c r="A58" s="162">
        <v>57</v>
      </c>
      <c r="B58" t="s">
        <v>341</v>
      </c>
      <c r="C58" s="162">
        <v>32</v>
      </c>
      <c r="D58" s="162"/>
      <c r="E58" s="162"/>
      <c r="F58" s="162">
        <v>3</v>
      </c>
      <c r="G58" s="162">
        <v>0</v>
      </c>
      <c r="H58" s="162">
        <v>0.36</v>
      </c>
      <c r="I58" s="162">
        <v>0.5</v>
      </c>
      <c r="J58" s="162">
        <v>3.25</v>
      </c>
      <c r="K58" s="162">
        <v>76.5</v>
      </c>
      <c r="L58" s="162">
        <v>23.5</v>
      </c>
      <c r="M58" s="162">
        <v>19</v>
      </c>
    </row>
    <row r="59" spans="1:13" x14ac:dyDescent="0.3">
      <c r="A59" s="162">
        <v>58</v>
      </c>
      <c r="B59" t="s">
        <v>52</v>
      </c>
      <c r="C59" s="162">
        <v>41</v>
      </c>
      <c r="D59" s="162"/>
      <c r="E59" s="162"/>
      <c r="F59" s="162">
        <v>3</v>
      </c>
      <c r="G59" s="162">
        <v>0</v>
      </c>
      <c r="H59" s="162">
        <v>0.62</v>
      </c>
      <c r="I59" s="162">
        <v>0.98</v>
      </c>
      <c r="J59" s="162">
        <v>6.84</v>
      </c>
      <c r="K59" s="162">
        <v>93.8</v>
      </c>
      <c r="L59" s="162">
        <v>12.5</v>
      </c>
      <c r="M59" s="162">
        <v>13.5</v>
      </c>
    </row>
    <row r="60" spans="1:13" x14ac:dyDescent="0.3">
      <c r="A60" s="162">
        <v>59</v>
      </c>
      <c r="B60" t="s">
        <v>305</v>
      </c>
      <c r="C60" s="162">
        <v>37</v>
      </c>
      <c r="D60" s="162"/>
      <c r="E60" s="162"/>
      <c r="F60" s="162">
        <v>3</v>
      </c>
      <c r="G60" s="162">
        <v>0</v>
      </c>
      <c r="H60" s="162">
        <v>0.64</v>
      </c>
      <c r="I60" s="162">
        <v>0.77</v>
      </c>
      <c r="J60" s="162">
        <v>4.4800000000000004</v>
      </c>
      <c r="K60" s="162">
        <v>100</v>
      </c>
      <c r="L60" s="162">
        <v>64.3</v>
      </c>
      <c r="M60" s="162">
        <v>24.5</v>
      </c>
    </row>
    <row r="61" spans="1:13" x14ac:dyDescent="0.3">
      <c r="A61" s="162">
        <v>60</v>
      </c>
      <c r="B61" t="s">
        <v>342</v>
      </c>
      <c r="C61" s="162">
        <v>24</v>
      </c>
      <c r="D61" s="162">
        <v>2</v>
      </c>
      <c r="E61" s="162">
        <v>3</v>
      </c>
      <c r="F61" s="162">
        <v>3</v>
      </c>
      <c r="G61" s="162">
        <v>1</v>
      </c>
      <c r="H61" s="162">
        <v>1.6</v>
      </c>
      <c r="I61" s="162">
        <v>1.1100000000000001</v>
      </c>
      <c r="J61" s="162">
        <v>20</v>
      </c>
      <c r="K61" s="162">
        <v>100</v>
      </c>
      <c r="L61" s="162">
        <v>66.7</v>
      </c>
      <c r="M61" s="162">
        <v>18.5</v>
      </c>
    </row>
    <row r="62" spans="1:13" x14ac:dyDescent="0.3">
      <c r="A62" s="162">
        <v>61</v>
      </c>
      <c r="B62" t="s">
        <v>343</v>
      </c>
      <c r="C62" s="162">
        <v>25</v>
      </c>
      <c r="D62" s="162">
        <v>5</v>
      </c>
      <c r="E62" s="162">
        <v>5</v>
      </c>
      <c r="F62" s="162">
        <v>3</v>
      </c>
      <c r="G62" s="162">
        <v>1</v>
      </c>
      <c r="H62" s="162">
        <v>0.69</v>
      </c>
      <c r="I62" s="162">
        <v>0.44</v>
      </c>
      <c r="J62" s="162">
        <v>2.39</v>
      </c>
      <c r="K62" s="162">
        <v>80</v>
      </c>
      <c r="L62" s="162">
        <v>6.7</v>
      </c>
      <c r="M62" s="162">
        <v>21</v>
      </c>
    </row>
    <row r="63" spans="1:13" x14ac:dyDescent="0.3">
      <c r="A63" s="162">
        <v>62</v>
      </c>
      <c r="B63" t="s">
        <v>18</v>
      </c>
      <c r="C63" s="162">
        <v>36</v>
      </c>
      <c r="D63" s="162">
        <v>4</v>
      </c>
      <c r="E63" s="162">
        <v>4</v>
      </c>
      <c r="F63" s="162">
        <v>3</v>
      </c>
      <c r="G63" s="162">
        <v>1</v>
      </c>
      <c r="H63" s="162">
        <v>0.56999999999999995</v>
      </c>
      <c r="I63" s="162">
        <v>0.71</v>
      </c>
      <c r="J63" s="162">
        <v>7.19</v>
      </c>
      <c r="K63" s="162">
        <v>69.400000000000006</v>
      </c>
      <c r="L63" s="162">
        <v>11.1</v>
      </c>
      <c r="M63" s="162">
        <v>19</v>
      </c>
    </row>
    <row r="64" spans="1:13" x14ac:dyDescent="0.3">
      <c r="A64" s="162">
        <v>63</v>
      </c>
      <c r="B64" t="s">
        <v>344</v>
      </c>
      <c r="C64" s="162">
        <v>8</v>
      </c>
      <c r="D64" s="162"/>
      <c r="E64" s="162"/>
      <c r="F64" s="162">
        <v>3</v>
      </c>
      <c r="G64" s="162">
        <v>0</v>
      </c>
      <c r="H64" s="162">
        <v>0.63</v>
      </c>
      <c r="I64" s="162">
        <v>0.74</v>
      </c>
      <c r="J64" s="162">
        <v>4.59</v>
      </c>
      <c r="K64" s="162">
        <v>75</v>
      </c>
      <c r="L64" s="162">
        <v>25</v>
      </c>
      <c r="M64" s="162">
        <v>17</v>
      </c>
    </row>
    <row r="65" spans="1:13" x14ac:dyDescent="0.3">
      <c r="A65" s="162">
        <v>64</v>
      </c>
      <c r="B65" t="s">
        <v>115</v>
      </c>
      <c r="C65" s="162">
        <v>173</v>
      </c>
      <c r="D65" s="162">
        <v>5</v>
      </c>
      <c r="E65" s="162">
        <v>5</v>
      </c>
      <c r="F65" s="162">
        <v>3</v>
      </c>
      <c r="G65" s="162">
        <v>1</v>
      </c>
      <c r="H65" s="162">
        <v>2.36</v>
      </c>
      <c r="I65" s="162">
        <v>1.49</v>
      </c>
      <c r="J65" s="162">
        <v>32.520000000000003</v>
      </c>
      <c r="K65" s="162">
        <v>73.7</v>
      </c>
      <c r="L65" s="162">
        <v>11.8</v>
      </c>
      <c r="M65" s="162">
        <v>13.5</v>
      </c>
    </row>
    <row r="66" spans="1:13" x14ac:dyDescent="0.3">
      <c r="A66" s="162">
        <v>65</v>
      </c>
      <c r="B66" t="s">
        <v>85</v>
      </c>
      <c r="C66" s="162">
        <v>55</v>
      </c>
      <c r="D66" s="162"/>
      <c r="E66" s="162"/>
      <c r="F66" s="162">
        <v>3</v>
      </c>
      <c r="G66" s="162">
        <v>0</v>
      </c>
      <c r="H66" s="162">
        <v>1.99</v>
      </c>
      <c r="I66" s="162">
        <v>1.23</v>
      </c>
      <c r="J66" s="162">
        <v>0</v>
      </c>
      <c r="K66" s="162">
        <v>65</v>
      </c>
      <c r="L66" s="162">
        <v>10</v>
      </c>
      <c r="M66" s="162">
        <v>15.5</v>
      </c>
    </row>
    <row r="67" spans="1:13" x14ac:dyDescent="0.3">
      <c r="A67" s="162">
        <v>66</v>
      </c>
      <c r="B67" t="s">
        <v>345</v>
      </c>
      <c r="C67" s="162">
        <v>45</v>
      </c>
      <c r="D67" s="162">
        <v>3</v>
      </c>
      <c r="E67" s="162">
        <v>3</v>
      </c>
      <c r="F67" s="162">
        <v>3</v>
      </c>
      <c r="G67" s="162">
        <v>1</v>
      </c>
      <c r="H67" s="162">
        <v>1.1000000000000001</v>
      </c>
      <c r="I67" s="162">
        <v>0.48</v>
      </c>
      <c r="J67" s="162">
        <v>5.59</v>
      </c>
      <c r="K67" s="162">
        <v>95.5</v>
      </c>
      <c r="L67" s="162">
        <v>9.1</v>
      </c>
      <c r="M67" s="162">
        <v>14.5</v>
      </c>
    </row>
    <row r="68" spans="1:13" x14ac:dyDescent="0.3">
      <c r="A68" s="162">
        <v>67</v>
      </c>
      <c r="B68" t="s">
        <v>113</v>
      </c>
      <c r="C68" s="162">
        <v>62</v>
      </c>
      <c r="D68" s="162"/>
      <c r="E68" s="162"/>
      <c r="F68" s="162">
        <v>3</v>
      </c>
      <c r="G68" s="162">
        <v>0</v>
      </c>
      <c r="H68" s="162">
        <v>1.53</v>
      </c>
      <c r="I68" s="162">
        <v>2.16</v>
      </c>
      <c r="J68" s="162">
        <v>20.3</v>
      </c>
      <c r="K68" s="162">
        <v>28.6</v>
      </c>
      <c r="L68" s="162">
        <v>0</v>
      </c>
      <c r="M68" s="162">
        <v>9</v>
      </c>
    </row>
    <row r="69" spans="1:13" x14ac:dyDescent="0.3">
      <c r="A69" s="162">
        <v>68</v>
      </c>
      <c r="B69" t="s">
        <v>22</v>
      </c>
      <c r="C69" s="162">
        <v>62</v>
      </c>
      <c r="D69" s="162">
        <v>3</v>
      </c>
      <c r="E69" s="162">
        <v>3</v>
      </c>
      <c r="F69" s="162">
        <v>3</v>
      </c>
      <c r="G69" s="162">
        <v>1</v>
      </c>
      <c r="H69" s="162">
        <v>1.26</v>
      </c>
      <c r="I69" s="162">
        <v>1.17</v>
      </c>
      <c r="J69" s="162">
        <v>12.89</v>
      </c>
      <c r="K69" s="162">
        <v>59.3</v>
      </c>
      <c r="L69" s="162">
        <v>14.8</v>
      </c>
      <c r="M69" s="162">
        <v>16</v>
      </c>
    </row>
    <row r="70" spans="1:13" x14ac:dyDescent="0.3">
      <c r="A70" s="162">
        <v>69</v>
      </c>
      <c r="B70" t="s">
        <v>103</v>
      </c>
      <c r="C70" s="162">
        <v>283</v>
      </c>
      <c r="D70" s="162">
        <v>4</v>
      </c>
      <c r="E70" s="162">
        <v>4</v>
      </c>
      <c r="F70" s="162">
        <v>3</v>
      </c>
      <c r="G70" s="162">
        <v>1</v>
      </c>
      <c r="H70" s="162">
        <v>3.26</v>
      </c>
      <c r="I70" s="162">
        <v>3.37</v>
      </c>
      <c r="J70" s="162">
        <v>10.1</v>
      </c>
      <c r="K70" s="162">
        <v>36.9</v>
      </c>
      <c r="L70" s="162">
        <v>4.5</v>
      </c>
      <c r="M70" s="162">
        <v>18</v>
      </c>
    </row>
    <row r="71" spans="1:13" x14ac:dyDescent="0.3">
      <c r="A71" s="162">
        <v>70</v>
      </c>
      <c r="B71" t="s">
        <v>120</v>
      </c>
      <c r="C71" s="162">
        <v>63</v>
      </c>
      <c r="D71" s="162">
        <v>5</v>
      </c>
      <c r="E71" s="162">
        <v>5</v>
      </c>
      <c r="F71" s="162">
        <v>3</v>
      </c>
      <c r="G71" s="162">
        <v>1</v>
      </c>
      <c r="H71" s="162">
        <v>1.9</v>
      </c>
      <c r="I71" s="162">
        <v>0.59</v>
      </c>
      <c r="J71" s="162">
        <v>3.13</v>
      </c>
      <c r="K71" s="162">
        <v>32.299999999999997</v>
      </c>
      <c r="L71" s="162">
        <v>3.2</v>
      </c>
      <c r="M71" s="162">
        <v>21</v>
      </c>
    </row>
    <row r="72" spans="1:13" x14ac:dyDescent="0.3">
      <c r="A72" s="162">
        <v>71</v>
      </c>
      <c r="B72" t="s">
        <v>99</v>
      </c>
      <c r="C72" s="162">
        <v>116</v>
      </c>
      <c r="D72" s="162">
        <v>4</v>
      </c>
      <c r="E72" s="162">
        <v>4</v>
      </c>
      <c r="F72" s="162">
        <v>3</v>
      </c>
      <c r="G72" s="162">
        <v>1</v>
      </c>
      <c r="H72" s="162">
        <v>2.94</v>
      </c>
      <c r="I72" s="162">
        <v>3.09</v>
      </c>
      <c r="J72" s="162">
        <v>8.82</v>
      </c>
      <c r="K72" s="162">
        <v>42.6</v>
      </c>
      <c r="L72" s="162">
        <v>14.8</v>
      </c>
      <c r="M72" s="162">
        <v>20.5</v>
      </c>
    </row>
    <row r="73" spans="1:13" x14ac:dyDescent="0.3">
      <c r="A73" s="162">
        <v>72</v>
      </c>
      <c r="B73" t="s">
        <v>346</v>
      </c>
      <c r="C73" s="162">
        <v>20</v>
      </c>
      <c r="D73" s="162">
        <v>4</v>
      </c>
      <c r="E73" s="162">
        <v>3</v>
      </c>
      <c r="F73" s="162">
        <v>3</v>
      </c>
      <c r="G73" s="162">
        <v>1</v>
      </c>
      <c r="H73" s="162">
        <v>0.72</v>
      </c>
      <c r="I73" s="162">
        <v>0.38</v>
      </c>
      <c r="J73" s="162">
        <v>3.25</v>
      </c>
      <c r="K73" s="162">
        <v>100</v>
      </c>
      <c r="L73" s="162">
        <v>37.5</v>
      </c>
      <c r="M73" s="162">
        <v>15.5</v>
      </c>
    </row>
    <row r="74" spans="1:13" x14ac:dyDescent="0.3">
      <c r="A74" s="162">
        <v>73</v>
      </c>
      <c r="B74" t="s">
        <v>67</v>
      </c>
      <c r="C74" s="162">
        <v>126</v>
      </c>
      <c r="D74" s="162">
        <v>3</v>
      </c>
      <c r="E74" s="162">
        <v>4</v>
      </c>
      <c r="F74" s="162">
        <v>3</v>
      </c>
      <c r="G74" s="162">
        <v>1</v>
      </c>
      <c r="H74" s="162">
        <v>1.45</v>
      </c>
      <c r="I74" s="162">
        <v>1.32</v>
      </c>
      <c r="J74" s="162">
        <v>9.32</v>
      </c>
      <c r="K74" s="162">
        <v>64.2</v>
      </c>
      <c r="L74" s="162">
        <v>23.2</v>
      </c>
      <c r="M74" s="162">
        <v>13</v>
      </c>
    </row>
    <row r="75" spans="1:13" x14ac:dyDescent="0.3">
      <c r="A75" s="162">
        <v>74</v>
      </c>
      <c r="B75" t="s">
        <v>118</v>
      </c>
      <c r="C75" s="162">
        <v>143</v>
      </c>
      <c r="D75" s="162">
        <v>4</v>
      </c>
      <c r="E75" s="162">
        <v>4</v>
      </c>
      <c r="F75" s="162">
        <v>3</v>
      </c>
      <c r="G75" s="162">
        <v>1</v>
      </c>
      <c r="H75" s="162">
        <v>0.67</v>
      </c>
      <c r="I75" s="162">
        <v>0.98</v>
      </c>
      <c r="J75" s="162">
        <v>6.16</v>
      </c>
      <c r="K75" s="162">
        <v>78.7</v>
      </c>
      <c r="L75" s="162">
        <v>27.7</v>
      </c>
      <c r="M75" s="162">
        <v>18</v>
      </c>
    </row>
    <row r="76" spans="1:13" x14ac:dyDescent="0.3">
      <c r="A76" s="162">
        <v>75</v>
      </c>
      <c r="B76" t="s">
        <v>98</v>
      </c>
      <c r="C76" s="162">
        <v>50</v>
      </c>
      <c r="D76" s="162">
        <v>4</v>
      </c>
      <c r="E76" s="162">
        <v>3</v>
      </c>
      <c r="F76" s="162">
        <v>3</v>
      </c>
      <c r="G76" s="162">
        <v>1</v>
      </c>
      <c r="H76" s="162">
        <v>0.91</v>
      </c>
      <c r="I76" s="162">
        <v>1.4</v>
      </c>
      <c r="J76" s="162">
        <v>9.24</v>
      </c>
      <c r="K76" s="162">
        <v>80</v>
      </c>
      <c r="L76" s="162">
        <v>20</v>
      </c>
      <c r="M76" s="162">
        <v>16</v>
      </c>
    </row>
    <row r="77" spans="1:13" x14ac:dyDescent="0.3">
      <c r="A77" s="162">
        <v>76</v>
      </c>
      <c r="B77" t="s">
        <v>200</v>
      </c>
      <c r="C77" s="162">
        <v>58</v>
      </c>
      <c r="D77" s="162"/>
      <c r="E77" s="162"/>
      <c r="F77" s="162">
        <v>3</v>
      </c>
      <c r="G77" s="162">
        <v>0</v>
      </c>
      <c r="H77" s="162">
        <v>0.75</v>
      </c>
      <c r="I77" s="162">
        <v>0.73</v>
      </c>
      <c r="J77" s="162">
        <v>2.54</v>
      </c>
      <c r="K77" s="162">
        <v>80.8</v>
      </c>
      <c r="L77" s="162">
        <v>50</v>
      </c>
      <c r="M77" s="162">
        <v>19</v>
      </c>
    </row>
    <row r="78" spans="1:13" x14ac:dyDescent="0.3">
      <c r="A78" s="162">
        <v>77</v>
      </c>
      <c r="B78" t="s">
        <v>36</v>
      </c>
      <c r="C78" s="162">
        <v>76</v>
      </c>
      <c r="D78" s="162">
        <v>3</v>
      </c>
      <c r="E78" s="162">
        <v>3</v>
      </c>
      <c r="F78" s="162">
        <v>2</v>
      </c>
      <c r="G78" s="162">
        <v>1</v>
      </c>
      <c r="H78" s="162">
        <v>0.99</v>
      </c>
      <c r="I78" s="162">
        <v>0.43</v>
      </c>
      <c r="J78" s="162">
        <v>6.15</v>
      </c>
      <c r="K78" s="162">
        <v>85.7</v>
      </c>
      <c r="L78" s="162">
        <v>19</v>
      </c>
      <c r="M78" s="162">
        <v>38</v>
      </c>
    </row>
    <row r="79" spans="1:13" x14ac:dyDescent="0.3">
      <c r="A79" s="162">
        <v>78</v>
      </c>
      <c r="B79" t="s">
        <v>347</v>
      </c>
      <c r="C79" s="162">
        <v>22</v>
      </c>
      <c r="D79" s="162"/>
      <c r="E79" s="162"/>
      <c r="F79" s="162">
        <v>2</v>
      </c>
      <c r="G79" s="162">
        <v>0</v>
      </c>
      <c r="H79" s="162">
        <v>0.78</v>
      </c>
      <c r="I79" s="162">
        <v>0.45</v>
      </c>
      <c r="J79" s="162">
        <v>0</v>
      </c>
      <c r="K79" s="162">
        <v>60</v>
      </c>
      <c r="L79" s="162">
        <v>20</v>
      </c>
      <c r="M79" s="162">
        <v>21</v>
      </c>
    </row>
    <row r="80" spans="1:13" x14ac:dyDescent="0.3">
      <c r="A80" s="162">
        <v>79</v>
      </c>
      <c r="B80" t="s">
        <v>122</v>
      </c>
      <c r="C80" s="162">
        <v>112</v>
      </c>
      <c r="D80" s="162">
        <v>3</v>
      </c>
      <c r="E80" s="162">
        <v>3</v>
      </c>
      <c r="F80" s="162">
        <v>2</v>
      </c>
      <c r="G80" s="162">
        <v>1</v>
      </c>
      <c r="H80" s="162">
        <v>1.1200000000000001</v>
      </c>
      <c r="I80" s="162">
        <v>0.81</v>
      </c>
      <c r="J80" s="162">
        <v>6.13</v>
      </c>
      <c r="K80" s="162">
        <v>92.7</v>
      </c>
      <c r="L80" s="162">
        <v>5.5</v>
      </c>
      <c r="M80" s="162">
        <v>19</v>
      </c>
    </row>
    <row r="81" spans="1:13" x14ac:dyDescent="0.3">
      <c r="A81" s="162">
        <v>80</v>
      </c>
      <c r="B81" t="s">
        <v>63</v>
      </c>
      <c r="C81" s="162">
        <v>84</v>
      </c>
      <c r="D81" s="162"/>
      <c r="E81" s="162"/>
      <c r="F81" s="162">
        <v>2</v>
      </c>
      <c r="G81" s="162">
        <v>0</v>
      </c>
      <c r="H81" s="162">
        <v>0.78</v>
      </c>
      <c r="I81" s="162">
        <v>0.73</v>
      </c>
      <c r="J81" s="162">
        <v>4.51</v>
      </c>
      <c r="K81" s="162">
        <v>75</v>
      </c>
      <c r="L81" s="162">
        <v>10</v>
      </c>
      <c r="M81" s="162">
        <v>16</v>
      </c>
    </row>
    <row r="82" spans="1:13" x14ac:dyDescent="0.3">
      <c r="A82" s="162">
        <v>81</v>
      </c>
      <c r="B82" t="s">
        <v>348</v>
      </c>
      <c r="C82" s="162">
        <v>24</v>
      </c>
      <c r="D82" s="162">
        <v>3</v>
      </c>
      <c r="E82" s="162">
        <v>4</v>
      </c>
      <c r="F82" s="162">
        <v>2</v>
      </c>
      <c r="G82" s="162">
        <v>1</v>
      </c>
      <c r="H82" s="162">
        <v>1.07</v>
      </c>
      <c r="I82" s="162">
        <v>1.1200000000000001</v>
      </c>
      <c r="J82" s="162">
        <v>0</v>
      </c>
      <c r="K82" s="162">
        <v>35.700000000000003</v>
      </c>
      <c r="L82" s="162">
        <v>42.9</v>
      </c>
      <c r="M82" s="162">
        <v>19</v>
      </c>
    </row>
    <row r="83" spans="1:13" x14ac:dyDescent="0.3">
      <c r="A83" s="162">
        <v>82</v>
      </c>
      <c r="B83" t="s">
        <v>349</v>
      </c>
      <c r="C83" s="162">
        <v>10</v>
      </c>
      <c r="D83" s="162"/>
      <c r="E83" s="162"/>
      <c r="F83" s="162">
        <v>2</v>
      </c>
      <c r="G83" s="162">
        <v>0</v>
      </c>
      <c r="H83" s="162">
        <v>1.04</v>
      </c>
      <c r="I83" s="162">
        <v>0.53</v>
      </c>
      <c r="J83" s="162">
        <v>10.45</v>
      </c>
      <c r="K83" s="162">
        <v>100</v>
      </c>
      <c r="L83" s="162">
        <v>16.7</v>
      </c>
      <c r="M83" s="162">
        <v>27</v>
      </c>
    </row>
    <row r="84" spans="1:13" x14ac:dyDescent="0.3">
      <c r="A84" s="162">
        <v>83</v>
      </c>
      <c r="B84" t="s">
        <v>350</v>
      </c>
      <c r="C84" s="162">
        <v>63</v>
      </c>
      <c r="D84" s="162">
        <v>4</v>
      </c>
      <c r="E84" s="162">
        <v>4</v>
      </c>
      <c r="F84" s="162">
        <v>2</v>
      </c>
      <c r="G84" s="162">
        <v>1</v>
      </c>
      <c r="H84" s="162">
        <v>0.69</v>
      </c>
      <c r="I84" s="162">
        <v>0.57999999999999996</v>
      </c>
      <c r="J84" s="162">
        <v>11.56</v>
      </c>
      <c r="K84" s="162">
        <v>36.799999999999997</v>
      </c>
      <c r="L84" s="162">
        <v>21.1</v>
      </c>
      <c r="M84" s="162">
        <v>23.5</v>
      </c>
    </row>
    <row r="85" spans="1:13" x14ac:dyDescent="0.3">
      <c r="A85" s="162">
        <v>84</v>
      </c>
      <c r="B85" t="s">
        <v>351</v>
      </c>
      <c r="C85" s="162">
        <v>169</v>
      </c>
      <c r="D85" s="162"/>
      <c r="E85" s="162"/>
      <c r="F85" s="162">
        <v>2</v>
      </c>
      <c r="G85" s="162">
        <v>0</v>
      </c>
      <c r="H85" s="162">
        <v>2.2599999999999998</v>
      </c>
      <c r="I85" s="162">
        <v>1.38</v>
      </c>
      <c r="J85" s="162">
        <v>7.67</v>
      </c>
      <c r="K85" s="162">
        <v>68.5</v>
      </c>
      <c r="L85" s="162">
        <v>17.8</v>
      </c>
      <c r="M85" s="162">
        <v>22.5</v>
      </c>
    </row>
    <row r="86" spans="1:13" x14ac:dyDescent="0.3">
      <c r="A86" s="162">
        <v>85</v>
      </c>
      <c r="B86" t="s">
        <v>104</v>
      </c>
      <c r="C86" s="162">
        <v>85</v>
      </c>
      <c r="D86" s="162">
        <v>4</v>
      </c>
      <c r="E86" s="162">
        <v>4</v>
      </c>
      <c r="F86" s="162">
        <v>2</v>
      </c>
      <c r="G86" s="162">
        <v>1</v>
      </c>
      <c r="H86" s="162">
        <v>2.44</v>
      </c>
      <c r="I86" s="162">
        <v>1.82</v>
      </c>
      <c r="J86" s="162">
        <v>15.25</v>
      </c>
      <c r="K86" s="162">
        <v>59.7</v>
      </c>
      <c r="L86" s="162">
        <v>23.9</v>
      </c>
      <c r="M86" s="162">
        <v>25.5</v>
      </c>
    </row>
    <row r="87" spans="1:13" x14ac:dyDescent="0.3">
      <c r="A87" s="162">
        <v>86</v>
      </c>
      <c r="B87" t="s">
        <v>56</v>
      </c>
      <c r="C87" s="162">
        <v>112</v>
      </c>
      <c r="D87" s="162">
        <v>5</v>
      </c>
      <c r="E87" s="162">
        <v>5</v>
      </c>
      <c r="F87" s="162">
        <v>2</v>
      </c>
      <c r="G87" s="162">
        <v>1</v>
      </c>
      <c r="H87" s="162">
        <v>1.58</v>
      </c>
      <c r="I87" s="162">
        <v>1.58</v>
      </c>
      <c r="J87" s="162">
        <v>3.58</v>
      </c>
      <c r="K87" s="162">
        <v>62.3</v>
      </c>
      <c r="L87" s="162">
        <v>15.9</v>
      </c>
      <c r="M87" s="162">
        <v>16</v>
      </c>
    </row>
    <row r="88" spans="1:13" x14ac:dyDescent="0.3">
      <c r="A88" s="162">
        <v>87</v>
      </c>
      <c r="B88" t="s">
        <v>70</v>
      </c>
      <c r="C88" s="162">
        <v>80</v>
      </c>
      <c r="D88" s="162">
        <v>4</v>
      </c>
      <c r="E88" s="162">
        <v>3</v>
      </c>
      <c r="F88" s="162">
        <v>2</v>
      </c>
      <c r="G88" s="162">
        <v>1</v>
      </c>
      <c r="H88" s="162">
        <v>1.76</v>
      </c>
      <c r="I88" s="162">
        <v>0.7</v>
      </c>
      <c r="J88" s="162">
        <v>5.38</v>
      </c>
      <c r="K88" s="162">
        <v>83.3</v>
      </c>
      <c r="L88" s="162">
        <v>53.3</v>
      </c>
      <c r="M88" s="162">
        <v>18.5</v>
      </c>
    </row>
    <row r="89" spans="1:13" x14ac:dyDescent="0.3">
      <c r="A89" s="162">
        <v>88</v>
      </c>
      <c r="B89" t="s">
        <v>208</v>
      </c>
      <c r="C89" s="162">
        <v>102</v>
      </c>
      <c r="D89" s="162">
        <v>4</v>
      </c>
      <c r="E89" s="162">
        <v>4</v>
      </c>
      <c r="F89" s="162">
        <v>2</v>
      </c>
      <c r="G89" s="162">
        <v>1</v>
      </c>
      <c r="H89" s="162">
        <v>1.26</v>
      </c>
      <c r="I89" s="162">
        <v>0.98</v>
      </c>
      <c r="J89" s="162">
        <v>4.95</v>
      </c>
      <c r="K89" s="162">
        <v>65.7</v>
      </c>
      <c r="L89" s="162">
        <v>17.100000000000001</v>
      </c>
      <c r="M89" s="162">
        <v>21</v>
      </c>
    </row>
    <row r="90" spans="1:13" x14ac:dyDescent="0.3">
      <c r="A90" s="162">
        <v>89</v>
      </c>
      <c r="B90" t="s">
        <v>117</v>
      </c>
      <c r="C90" s="162">
        <v>38</v>
      </c>
      <c r="D90" s="162">
        <v>3</v>
      </c>
      <c r="E90" s="162">
        <v>3</v>
      </c>
      <c r="F90" s="162">
        <v>2</v>
      </c>
      <c r="G90" s="162">
        <v>1</v>
      </c>
      <c r="H90" s="162">
        <v>2.04</v>
      </c>
      <c r="I90" s="162">
        <v>1.59</v>
      </c>
      <c r="J90" s="162">
        <v>0</v>
      </c>
      <c r="K90" s="162">
        <v>58.3</v>
      </c>
      <c r="L90" s="162">
        <v>0</v>
      </c>
      <c r="M90" s="162">
        <v>26.5</v>
      </c>
    </row>
    <row r="91" spans="1:13" x14ac:dyDescent="0.3">
      <c r="A91" s="162">
        <v>90</v>
      </c>
      <c r="B91" t="s">
        <v>352</v>
      </c>
      <c r="C91" s="162">
        <v>24</v>
      </c>
      <c r="D91" s="162">
        <v>4</v>
      </c>
      <c r="E91" s="162">
        <v>4</v>
      </c>
      <c r="F91" s="162">
        <v>2</v>
      </c>
      <c r="G91" s="162">
        <v>1</v>
      </c>
      <c r="H91" s="162">
        <v>0.84</v>
      </c>
      <c r="I91" s="162">
        <v>0.87</v>
      </c>
      <c r="J91" s="162">
        <v>20.36</v>
      </c>
      <c r="K91" s="162">
        <v>50</v>
      </c>
      <c r="L91" s="162">
        <v>12.5</v>
      </c>
      <c r="M91" s="162">
        <v>25.5</v>
      </c>
    </row>
    <row r="92" spans="1:13" x14ac:dyDescent="0.3">
      <c r="A92" s="162">
        <v>91</v>
      </c>
      <c r="B92" t="s">
        <v>353</v>
      </c>
      <c r="C92" s="162">
        <v>75</v>
      </c>
      <c r="D92" s="162"/>
      <c r="E92" s="162"/>
      <c r="F92" s="162">
        <v>2</v>
      </c>
      <c r="G92" s="162">
        <v>0</v>
      </c>
      <c r="H92" s="162">
        <v>1.66</v>
      </c>
      <c r="I92" s="162">
        <v>1.48</v>
      </c>
      <c r="J92" s="162">
        <v>12.58</v>
      </c>
      <c r="K92" s="162">
        <v>67.900000000000006</v>
      </c>
      <c r="L92" s="162">
        <v>10.7</v>
      </c>
      <c r="M92" s="162">
        <v>18</v>
      </c>
    </row>
    <row r="93" spans="1:13" x14ac:dyDescent="0.3">
      <c r="A93" s="162">
        <v>92</v>
      </c>
      <c r="B93" t="s">
        <v>318</v>
      </c>
      <c r="C93" s="162">
        <v>122</v>
      </c>
      <c r="D93" s="162"/>
      <c r="E93" s="162"/>
      <c r="F93" s="162">
        <v>2</v>
      </c>
      <c r="G93" s="162">
        <v>0</v>
      </c>
      <c r="H93" s="162">
        <v>1.34</v>
      </c>
      <c r="I93" s="162">
        <v>0.81</v>
      </c>
      <c r="J93" s="162">
        <v>10.33</v>
      </c>
      <c r="K93" s="162">
        <v>77.3</v>
      </c>
      <c r="L93" s="162">
        <v>36.4</v>
      </c>
      <c r="M93" s="162">
        <v>23.5</v>
      </c>
    </row>
    <row r="94" spans="1:13" x14ac:dyDescent="0.3">
      <c r="A94" s="162">
        <v>93</v>
      </c>
      <c r="B94" t="s">
        <v>92</v>
      </c>
      <c r="C94" s="162">
        <v>61</v>
      </c>
      <c r="D94" s="162"/>
      <c r="E94" s="162"/>
      <c r="F94" s="162">
        <v>2</v>
      </c>
      <c r="G94" s="162">
        <v>0</v>
      </c>
      <c r="H94" s="162">
        <v>1.49</v>
      </c>
      <c r="I94" s="162">
        <v>0.65</v>
      </c>
      <c r="J94" s="162">
        <v>8.1300000000000008</v>
      </c>
      <c r="K94" s="162">
        <v>92.3</v>
      </c>
      <c r="L94" s="162">
        <v>23.1</v>
      </c>
      <c r="M94" s="162">
        <v>25</v>
      </c>
    </row>
    <row r="95" spans="1:13" x14ac:dyDescent="0.3">
      <c r="A95" s="162">
        <v>94</v>
      </c>
      <c r="B95" t="s">
        <v>354</v>
      </c>
      <c r="C95" s="162">
        <v>27</v>
      </c>
      <c r="D95" s="162"/>
      <c r="E95" s="162"/>
      <c r="F95" s="162">
        <v>2</v>
      </c>
      <c r="G95" s="162">
        <v>0</v>
      </c>
      <c r="H95" s="162">
        <v>0.55000000000000004</v>
      </c>
      <c r="I95" s="162">
        <v>0.45</v>
      </c>
      <c r="J95" s="162">
        <v>15.6</v>
      </c>
      <c r="K95" s="162">
        <v>87.5</v>
      </c>
      <c r="L95" s="162">
        <v>31.2</v>
      </c>
      <c r="M95" s="162">
        <v>15</v>
      </c>
    </row>
    <row r="96" spans="1:13" x14ac:dyDescent="0.3">
      <c r="A96" s="162">
        <v>95</v>
      </c>
      <c r="B96" t="s">
        <v>355</v>
      </c>
      <c r="C96" s="162">
        <v>31</v>
      </c>
      <c r="D96" s="162">
        <v>4</v>
      </c>
      <c r="E96" s="162">
        <v>4</v>
      </c>
      <c r="F96" s="162">
        <v>2</v>
      </c>
      <c r="G96" s="162">
        <v>1</v>
      </c>
      <c r="H96" s="162">
        <v>1.18</v>
      </c>
      <c r="I96" s="162">
        <v>0.71</v>
      </c>
      <c r="J96" s="162">
        <v>5.15</v>
      </c>
      <c r="K96" s="162">
        <v>67.900000000000006</v>
      </c>
      <c r="L96" s="162">
        <v>14.3</v>
      </c>
      <c r="M96" s="162">
        <v>16</v>
      </c>
    </row>
    <row r="97" spans="1:13" x14ac:dyDescent="0.3">
      <c r="A97" s="162">
        <v>96</v>
      </c>
      <c r="B97" t="s">
        <v>189</v>
      </c>
      <c r="C97" s="162">
        <v>201</v>
      </c>
      <c r="D97" s="162">
        <v>4</v>
      </c>
      <c r="E97" s="162">
        <v>4</v>
      </c>
      <c r="F97" s="162">
        <v>2</v>
      </c>
      <c r="G97" s="162">
        <v>1</v>
      </c>
      <c r="H97" s="162">
        <v>1.85</v>
      </c>
      <c r="I97" s="162">
        <v>1.73</v>
      </c>
      <c r="J97" s="162">
        <v>5.41</v>
      </c>
      <c r="K97" s="162">
        <v>85.3</v>
      </c>
      <c r="L97" s="162">
        <v>25.5</v>
      </c>
      <c r="M97" s="162">
        <v>22.5</v>
      </c>
    </row>
    <row r="98" spans="1:13" x14ac:dyDescent="0.3">
      <c r="A98" s="162">
        <v>97</v>
      </c>
      <c r="B98" t="s">
        <v>64</v>
      </c>
      <c r="C98" s="162">
        <v>26</v>
      </c>
      <c r="D98" s="162">
        <v>4</v>
      </c>
      <c r="E98" s="162">
        <v>3</v>
      </c>
      <c r="F98" s="162">
        <v>2</v>
      </c>
      <c r="G98" s="162">
        <v>1</v>
      </c>
      <c r="H98" s="162">
        <v>0.59</v>
      </c>
      <c r="I98" s="162">
        <v>0.94</v>
      </c>
      <c r="J98" s="162">
        <v>0</v>
      </c>
      <c r="K98" s="162">
        <v>91.7</v>
      </c>
      <c r="L98" s="162">
        <v>0</v>
      </c>
      <c r="M98" s="162">
        <v>19</v>
      </c>
    </row>
    <row r="99" spans="1:13" x14ac:dyDescent="0.3">
      <c r="A99" s="162">
        <v>98</v>
      </c>
      <c r="B99" t="s">
        <v>356</v>
      </c>
      <c r="C99" s="162">
        <v>14</v>
      </c>
      <c r="D99" s="162"/>
      <c r="E99" s="162"/>
      <c r="F99" s="162">
        <v>2</v>
      </c>
      <c r="G99" s="162">
        <v>0</v>
      </c>
      <c r="H99" s="162">
        <v>0.31</v>
      </c>
      <c r="I99" s="162">
        <v>0.67</v>
      </c>
      <c r="J99" s="162">
        <v>7.85</v>
      </c>
      <c r="K99" s="162">
        <v>85.7</v>
      </c>
      <c r="L99" s="162">
        <v>42.9</v>
      </c>
      <c r="M99" s="162">
        <v>24</v>
      </c>
    </row>
    <row r="100" spans="1:13" x14ac:dyDescent="0.3">
      <c r="A100" s="162">
        <v>99</v>
      </c>
      <c r="B100" t="s">
        <v>51</v>
      </c>
      <c r="C100" s="162">
        <v>48</v>
      </c>
      <c r="D100" s="162">
        <v>3</v>
      </c>
      <c r="E100" s="162">
        <v>3</v>
      </c>
      <c r="F100" s="162">
        <v>2</v>
      </c>
      <c r="G100" s="162">
        <v>1</v>
      </c>
      <c r="H100" s="162"/>
      <c r="I100" s="162"/>
      <c r="J100" s="162"/>
      <c r="K100" s="162"/>
      <c r="L100" s="162"/>
      <c r="M100" s="162"/>
    </row>
    <row r="101" spans="1:13" x14ac:dyDescent="0.3">
      <c r="A101" s="162">
        <v>100</v>
      </c>
      <c r="B101" t="s">
        <v>97</v>
      </c>
      <c r="C101" s="162">
        <v>101</v>
      </c>
      <c r="D101" s="162"/>
      <c r="E101" s="162"/>
      <c r="F101" s="162">
        <v>2</v>
      </c>
      <c r="G101" s="162">
        <v>0</v>
      </c>
      <c r="H101" s="162">
        <v>1.49</v>
      </c>
      <c r="I101" s="162">
        <v>3.07</v>
      </c>
      <c r="J101" s="162">
        <v>9.7200000000000006</v>
      </c>
      <c r="K101" s="162">
        <v>46.3</v>
      </c>
      <c r="L101" s="162">
        <v>17.899999999999999</v>
      </c>
      <c r="M101" s="162">
        <v>18</v>
      </c>
    </row>
    <row r="102" spans="1:13" x14ac:dyDescent="0.3">
      <c r="A102" s="162">
        <v>101</v>
      </c>
      <c r="B102" t="s">
        <v>357</v>
      </c>
      <c r="C102" s="162">
        <v>73</v>
      </c>
      <c r="D102" s="162">
        <v>2</v>
      </c>
      <c r="E102" s="162">
        <v>3</v>
      </c>
      <c r="F102" s="162">
        <v>2</v>
      </c>
      <c r="G102" s="162">
        <v>1</v>
      </c>
      <c r="H102" s="162">
        <v>0.88</v>
      </c>
      <c r="I102" s="162">
        <v>0.89</v>
      </c>
      <c r="J102" s="162">
        <v>9.93</v>
      </c>
      <c r="K102" s="162">
        <v>81.8</v>
      </c>
      <c r="L102" s="162">
        <v>48.5</v>
      </c>
      <c r="M102" s="162">
        <v>23</v>
      </c>
    </row>
    <row r="103" spans="1:13" x14ac:dyDescent="0.3">
      <c r="A103" s="162">
        <v>102</v>
      </c>
      <c r="B103" t="s">
        <v>358</v>
      </c>
      <c r="C103" s="162">
        <v>107</v>
      </c>
      <c r="D103" s="162">
        <v>3</v>
      </c>
      <c r="E103" s="162">
        <v>3</v>
      </c>
      <c r="F103" s="162">
        <v>1</v>
      </c>
      <c r="G103" s="162">
        <v>1</v>
      </c>
      <c r="H103" s="162">
        <v>2.02</v>
      </c>
      <c r="I103" s="162">
        <v>2.23</v>
      </c>
      <c r="J103" s="162">
        <v>12.02</v>
      </c>
      <c r="K103" s="162">
        <v>52.2</v>
      </c>
      <c r="L103" s="162">
        <v>10.9</v>
      </c>
      <c r="M103" s="162">
        <v>16</v>
      </c>
    </row>
    <row r="104" spans="1:13" x14ac:dyDescent="0.3">
      <c r="A104" s="162">
        <v>103</v>
      </c>
      <c r="B104" t="s">
        <v>359</v>
      </c>
      <c r="C104" s="162">
        <v>68</v>
      </c>
      <c r="D104" s="162">
        <v>4</v>
      </c>
      <c r="E104" s="162">
        <v>3</v>
      </c>
      <c r="F104" s="162">
        <v>1</v>
      </c>
      <c r="G104" s="162">
        <v>1</v>
      </c>
      <c r="H104" s="162">
        <v>1.25</v>
      </c>
      <c r="I104" s="162">
        <v>0.72</v>
      </c>
      <c r="J104" s="162">
        <v>21.88</v>
      </c>
      <c r="K104" s="162">
        <v>67.599999999999994</v>
      </c>
      <c r="L104" s="162">
        <v>20.6</v>
      </c>
      <c r="M104" s="162">
        <v>24.5</v>
      </c>
    </row>
    <row r="105" spans="1:13" x14ac:dyDescent="0.3">
      <c r="A105" s="162">
        <v>104</v>
      </c>
      <c r="B105" t="s">
        <v>32</v>
      </c>
      <c r="C105" s="162">
        <v>279</v>
      </c>
      <c r="D105" s="162">
        <v>5</v>
      </c>
      <c r="E105" s="162">
        <v>5</v>
      </c>
      <c r="F105" s="162">
        <v>1</v>
      </c>
      <c r="G105" s="162">
        <v>1</v>
      </c>
      <c r="H105" s="162">
        <v>1.99</v>
      </c>
      <c r="I105" s="162">
        <v>1.51</v>
      </c>
      <c r="J105" s="162">
        <v>14.26</v>
      </c>
      <c r="K105" s="162">
        <v>55.8</v>
      </c>
      <c r="L105" s="162">
        <v>5.8</v>
      </c>
      <c r="M105" s="162">
        <v>16</v>
      </c>
    </row>
    <row r="106" spans="1:13" x14ac:dyDescent="0.3">
      <c r="A106" s="162">
        <v>105</v>
      </c>
      <c r="B106" t="s">
        <v>360</v>
      </c>
      <c r="C106" s="162">
        <v>57</v>
      </c>
      <c r="D106" s="162"/>
      <c r="E106" s="162"/>
      <c r="F106" s="162">
        <v>1</v>
      </c>
      <c r="G106" s="162">
        <v>1</v>
      </c>
      <c r="H106" s="162">
        <v>0.71</v>
      </c>
      <c r="I106" s="162">
        <v>0.68</v>
      </c>
      <c r="J106" s="162">
        <v>14.85</v>
      </c>
      <c r="K106" s="162">
        <v>85.7</v>
      </c>
      <c r="L106" s="162">
        <v>21.4</v>
      </c>
      <c r="M106" s="162">
        <v>19</v>
      </c>
    </row>
    <row r="107" spans="1:13" x14ac:dyDescent="0.3">
      <c r="A107" s="162">
        <v>106</v>
      </c>
      <c r="B107" t="s">
        <v>361</v>
      </c>
      <c r="C107" s="162">
        <v>38</v>
      </c>
      <c r="D107" s="162"/>
      <c r="E107" s="162"/>
      <c r="F107" s="162">
        <v>1</v>
      </c>
      <c r="G107" s="162">
        <v>0</v>
      </c>
      <c r="H107" s="162">
        <v>0.59</v>
      </c>
      <c r="I107" s="162">
        <v>0.49</v>
      </c>
      <c r="J107" s="162">
        <v>10.15</v>
      </c>
      <c r="K107" s="162">
        <v>100</v>
      </c>
      <c r="L107" s="162">
        <v>14.3</v>
      </c>
      <c r="M107" s="162">
        <v>16</v>
      </c>
    </row>
    <row r="108" spans="1:13" x14ac:dyDescent="0.3">
      <c r="A108" s="162">
        <v>107</v>
      </c>
      <c r="B108" t="s">
        <v>181</v>
      </c>
      <c r="C108" s="162">
        <v>64</v>
      </c>
      <c r="D108" s="162"/>
      <c r="E108" s="162"/>
      <c r="F108" s="162">
        <v>1</v>
      </c>
      <c r="G108" s="162">
        <v>0</v>
      </c>
      <c r="H108" s="162">
        <v>0.7</v>
      </c>
      <c r="I108" s="162">
        <v>0.68</v>
      </c>
      <c r="J108" s="162">
        <v>2.31</v>
      </c>
      <c r="K108" s="162">
        <v>97.4</v>
      </c>
      <c r="L108" s="162">
        <v>30.8</v>
      </c>
      <c r="M108" s="162">
        <v>14</v>
      </c>
    </row>
    <row r="109" spans="1:13" x14ac:dyDescent="0.3">
      <c r="A109" s="162">
        <v>108</v>
      </c>
      <c r="B109" t="s">
        <v>362</v>
      </c>
      <c r="C109" s="162">
        <v>69</v>
      </c>
      <c r="D109" s="162">
        <v>3</v>
      </c>
      <c r="E109" s="162">
        <v>3</v>
      </c>
      <c r="F109" s="162">
        <v>1</v>
      </c>
      <c r="G109" s="162">
        <v>1</v>
      </c>
      <c r="H109" s="162">
        <v>0.38</v>
      </c>
      <c r="I109" s="162">
        <v>0.55000000000000004</v>
      </c>
      <c r="J109" s="162">
        <v>3.98</v>
      </c>
      <c r="K109" s="162">
        <v>69</v>
      </c>
      <c r="L109" s="162">
        <v>24.1</v>
      </c>
      <c r="M109" s="162">
        <v>20</v>
      </c>
    </row>
    <row r="110" spans="1:13" x14ac:dyDescent="0.3">
      <c r="A110" s="162">
        <v>109</v>
      </c>
      <c r="B110" t="s">
        <v>363</v>
      </c>
      <c r="C110" s="162">
        <v>66</v>
      </c>
      <c r="D110" s="162"/>
      <c r="E110" s="162"/>
      <c r="F110" s="162">
        <v>1</v>
      </c>
      <c r="G110" s="162">
        <v>0</v>
      </c>
      <c r="H110" s="162">
        <v>0.64</v>
      </c>
      <c r="I110" s="162">
        <v>0.68</v>
      </c>
      <c r="J110" s="162">
        <v>2.12</v>
      </c>
      <c r="K110" s="162">
        <v>72.7</v>
      </c>
      <c r="L110" s="162">
        <v>18.2</v>
      </c>
      <c r="M110" s="162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6"/>
  <sheetViews>
    <sheetView workbookViewId="0"/>
  </sheetViews>
  <sheetFormatPr defaultRowHeight="14.4" x14ac:dyDescent="0.3"/>
  <cols>
    <col min="2" max="2" width="61.44140625" bestFit="1" customWidth="1"/>
  </cols>
  <sheetData>
    <row r="1" spans="1:13" x14ac:dyDescent="0.3">
      <c r="A1" t="s">
        <v>8</v>
      </c>
      <c r="B1" t="s">
        <v>411</v>
      </c>
      <c r="C1" t="s">
        <v>410</v>
      </c>
      <c r="D1" t="s">
        <v>419</v>
      </c>
      <c r="E1" t="s">
        <v>418</v>
      </c>
      <c r="F1" t="s">
        <v>417</v>
      </c>
      <c r="G1" t="s">
        <v>409</v>
      </c>
      <c r="H1" t="s">
        <v>408</v>
      </c>
      <c r="I1" t="s">
        <v>412</v>
      </c>
      <c r="J1" t="s">
        <v>413</v>
      </c>
      <c r="K1" t="s">
        <v>526</v>
      </c>
      <c r="L1" t="s">
        <v>601</v>
      </c>
      <c r="M1" t="s">
        <v>415</v>
      </c>
    </row>
    <row r="2" spans="1:13" x14ac:dyDescent="0.3">
      <c r="A2" s="162">
        <v>1</v>
      </c>
      <c r="B2" t="s">
        <v>18</v>
      </c>
      <c r="C2" s="162">
        <v>316</v>
      </c>
      <c r="D2" s="162">
        <v>4</v>
      </c>
      <c r="E2" s="162">
        <v>4</v>
      </c>
      <c r="F2" s="162">
        <v>5</v>
      </c>
      <c r="G2" s="162">
        <v>1</v>
      </c>
      <c r="H2" s="162">
        <v>1.9179999999999999</v>
      </c>
      <c r="I2" s="162">
        <v>1.39</v>
      </c>
      <c r="J2" s="162">
        <v>8.3000000000000007</v>
      </c>
      <c r="K2" s="162">
        <v>15.2</v>
      </c>
      <c r="L2" s="162">
        <v>16</v>
      </c>
      <c r="M2" s="162">
        <v>14</v>
      </c>
    </row>
    <row r="3" spans="1:13" x14ac:dyDescent="0.3">
      <c r="A3" s="162">
        <v>2</v>
      </c>
      <c r="B3" t="s">
        <v>20</v>
      </c>
      <c r="C3" s="162">
        <v>147</v>
      </c>
      <c r="D3" s="162">
        <v>3</v>
      </c>
      <c r="E3" s="162">
        <v>3</v>
      </c>
      <c r="F3" s="162">
        <v>5</v>
      </c>
      <c r="G3" s="162">
        <v>1</v>
      </c>
      <c r="H3" s="162"/>
      <c r="I3" s="162">
        <v>1.22</v>
      </c>
      <c r="J3" s="162">
        <v>11.64</v>
      </c>
      <c r="K3" s="162">
        <v>9.9</v>
      </c>
      <c r="L3" s="162">
        <v>14.3</v>
      </c>
      <c r="M3" s="162">
        <v>9.5</v>
      </c>
    </row>
    <row r="4" spans="1:13" x14ac:dyDescent="0.3">
      <c r="A4" s="162">
        <v>3</v>
      </c>
      <c r="B4" t="s">
        <v>21</v>
      </c>
      <c r="C4" s="162">
        <v>264</v>
      </c>
      <c r="D4" s="162">
        <v>4</v>
      </c>
      <c r="E4" s="162">
        <v>3</v>
      </c>
      <c r="F4" s="162">
        <v>5</v>
      </c>
      <c r="G4" s="162">
        <v>1</v>
      </c>
      <c r="H4" s="162">
        <v>1.546</v>
      </c>
      <c r="I4" s="162">
        <v>1.3</v>
      </c>
      <c r="J4" s="162">
        <v>9.77</v>
      </c>
      <c r="K4" s="162">
        <v>16.899999999999999</v>
      </c>
      <c r="L4" s="162">
        <v>5.7</v>
      </c>
      <c r="M4" s="162">
        <v>5</v>
      </c>
    </row>
    <row r="5" spans="1:13" x14ac:dyDescent="0.3">
      <c r="A5" s="162">
        <v>4</v>
      </c>
      <c r="B5" t="s">
        <v>22</v>
      </c>
      <c r="C5" s="162">
        <v>99</v>
      </c>
      <c r="D5" s="162">
        <v>3</v>
      </c>
      <c r="E5" s="162">
        <v>3</v>
      </c>
      <c r="F5" s="162">
        <v>5</v>
      </c>
      <c r="G5" s="162">
        <v>1</v>
      </c>
      <c r="H5" s="162"/>
      <c r="I5" s="162">
        <v>0.77</v>
      </c>
      <c r="J5" s="162">
        <v>12.99</v>
      </c>
      <c r="K5" s="162">
        <v>22.7</v>
      </c>
      <c r="L5" s="162">
        <v>13.9</v>
      </c>
      <c r="M5" s="162">
        <v>11</v>
      </c>
    </row>
    <row r="6" spans="1:13" x14ac:dyDescent="0.3">
      <c r="A6" s="162">
        <v>5</v>
      </c>
      <c r="B6" t="s">
        <v>23</v>
      </c>
      <c r="C6" s="162">
        <v>346</v>
      </c>
      <c r="D6" s="162"/>
      <c r="E6" s="162"/>
      <c r="F6" s="162">
        <v>5</v>
      </c>
      <c r="G6" s="162">
        <v>0</v>
      </c>
      <c r="H6" s="162">
        <v>1.772</v>
      </c>
      <c r="I6" s="162">
        <v>1.0900000000000001</v>
      </c>
      <c r="J6" s="162">
        <v>15.23</v>
      </c>
      <c r="K6" s="162">
        <v>15.6</v>
      </c>
      <c r="L6" s="162">
        <v>13.6</v>
      </c>
      <c r="M6" s="162">
        <v>10</v>
      </c>
    </row>
    <row r="7" spans="1:13" x14ac:dyDescent="0.3">
      <c r="A7" s="162">
        <v>6</v>
      </c>
      <c r="B7" t="s">
        <v>26</v>
      </c>
      <c r="C7" s="162">
        <v>386</v>
      </c>
      <c r="D7" s="162">
        <v>5</v>
      </c>
      <c r="E7" s="162">
        <v>5</v>
      </c>
      <c r="F7" s="162">
        <v>5</v>
      </c>
      <c r="G7" s="162">
        <v>1</v>
      </c>
      <c r="H7" s="162">
        <v>0.21</v>
      </c>
      <c r="I7" s="162">
        <v>1.77</v>
      </c>
      <c r="J7" s="162">
        <v>14.16</v>
      </c>
      <c r="K7" s="162">
        <v>9.4</v>
      </c>
      <c r="L7" s="162">
        <v>11.3</v>
      </c>
      <c r="M7" s="162">
        <v>8</v>
      </c>
    </row>
    <row r="8" spans="1:13" x14ac:dyDescent="0.3">
      <c r="A8" s="162">
        <v>7</v>
      </c>
      <c r="B8" t="s">
        <v>27</v>
      </c>
      <c r="C8" s="162">
        <v>256</v>
      </c>
      <c r="D8" s="162">
        <v>3</v>
      </c>
      <c r="E8" s="162">
        <v>3</v>
      </c>
      <c r="F8" s="162">
        <v>5</v>
      </c>
      <c r="G8" s="162">
        <v>1</v>
      </c>
      <c r="H8" s="162">
        <v>0.64</v>
      </c>
      <c r="I8" s="162">
        <v>1.6</v>
      </c>
      <c r="J8" s="162">
        <v>17.91</v>
      </c>
      <c r="K8" s="162">
        <v>7.6</v>
      </c>
      <c r="L8" s="162">
        <v>17.600000000000001</v>
      </c>
      <c r="M8" s="162">
        <v>9</v>
      </c>
    </row>
    <row r="9" spans="1:13" x14ac:dyDescent="0.3">
      <c r="A9" s="162">
        <v>8</v>
      </c>
      <c r="B9" t="s">
        <v>28</v>
      </c>
      <c r="C9" s="162">
        <v>57</v>
      </c>
      <c r="D9" s="162">
        <v>4</v>
      </c>
      <c r="E9" s="162">
        <v>3</v>
      </c>
      <c r="F9" s="162">
        <v>5</v>
      </c>
      <c r="G9" s="162">
        <v>1</v>
      </c>
      <c r="H9" s="162">
        <v>0.64700000000000002</v>
      </c>
      <c r="I9" s="162">
        <v>0.79</v>
      </c>
      <c r="J9" s="162">
        <v>8.15</v>
      </c>
      <c r="K9" s="162">
        <v>9.6</v>
      </c>
      <c r="L9" s="162">
        <v>19</v>
      </c>
      <c r="M9" s="162">
        <v>6</v>
      </c>
    </row>
    <row r="10" spans="1:13" x14ac:dyDescent="0.3">
      <c r="A10" s="162">
        <v>9</v>
      </c>
      <c r="B10" t="s">
        <v>29</v>
      </c>
      <c r="C10" s="162">
        <v>152</v>
      </c>
      <c r="D10" s="162"/>
      <c r="E10" s="162"/>
      <c r="F10" s="162">
        <v>5</v>
      </c>
      <c r="G10" s="162">
        <v>0</v>
      </c>
      <c r="H10" s="162">
        <v>1.4239999999999999</v>
      </c>
      <c r="I10" s="162">
        <v>0.6</v>
      </c>
      <c r="J10" s="162">
        <v>20.55</v>
      </c>
      <c r="K10" s="162">
        <v>9.5</v>
      </c>
      <c r="L10" s="162">
        <v>33.299999999999997</v>
      </c>
      <c r="M10" s="162">
        <v>14</v>
      </c>
    </row>
    <row r="11" spans="1:13" x14ac:dyDescent="0.3">
      <c r="A11" s="162">
        <v>10</v>
      </c>
      <c r="B11" t="s">
        <v>30</v>
      </c>
      <c r="C11" s="162">
        <v>79</v>
      </c>
      <c r="D11" s="162"/>
      <c r="E11" s="162"/>
      <c r="F11" s="162">
        <v>5</v>
      </c>
      <c r="G11" s="162">
        <v>0</v>
      </c>
      <c r="H11" s="162">
        <v>0.59099999999999997</v>
      </c>
      <c r="I11" s="162">
        <v>0.97</v>
      </c>
      <c r="J11" s="162">
        <v>14.83</v>
      </c>
      <c r="K11" s="162">
        <v>15.9</v>
      </c>
      <c r="L11" s="162">
        <v>9.5</v>
      </c>
      <c r="M11" s="162">
        <v>10</v>
      </c>
    </row>
    <row r="12" spans="1:13" x14ac:dyDescent="0.3">
      <c r="A12" s="162">
        <v>11</v>
      </c>
      <c r="B12" t="s">
        <v>31</v>
      </c>
      <c r="C12" s="162">
        <v>164</v>
      </c>
      <c r="D12" s="162">
        <v>5</v>
      </c>
      <c r="E12" s="162">
        <v>5</v>
      </c>
      <c r="F12" s="162">
        <v>5</v>
      </c>
      <c r="G12" s="162">
        <v>1</v>
      </c>
      <c r="H12" s="162">
        <v>1.1160000000000001</v>
      </c>
      <c r="I12" s="162">
        <v>0.83</v>
      </c>
      <c r="J12" s="162">
        <v>6.86</v>
      </c>
      <c r="K12" s="162">
        <v>16.7</v>
      </c>
      <c r="L12" s="162">
        <v>5.4</v>
      </c>
      <c r="M12" s="162">
        <v>10</v>
      </c>
    </row>
    <row r="13" spans="1:13" x14ac:dyDescent="0.3">
      <c r="A13" s="162">
        <v>12</v>
      </c>
      <c r="B13" t="s">
        <v>32</v>
      </c>
      <c r="C13" s="162">
        <v>321</v>
      </c>
      <c r="D13" s="162">
        <v>5</v>
      </c>
      <c r="E13" s="162">
        <v>5</v>
      </c>
      <c r="F13" s="162">
        <v>5</v>
      </c>
      <c r="G13" s="162">
        <v>1</v>
      </c>
      <c r="H13" s="162"/>
      <c r="I13" s="162">
        <v>1.6</v>
      </c>
      <c r="J13" s="162">
        <v>8.32</v>
      </c>
      <c r="K13" s="162">
        <v>10.5</v>
      </c>
      <c r="L13" s="162">
        <v>13</v>
      </c>
      <c r="M13" s="162">
        <v>11</v>
      </c>
    </row>
    <row r="14" spans="1:13" x14ac:dyDescent="0.3">
      <c r="A14" s="162">
        <v>13</v>
      </c>
      <c r="B14" t="s">
        <v>33</v>
      </c>
      <c r="C14" s="162">
        <v>590</v>
      </c>
      <c r="D14" s="162">
        <v>5</v>
      </c>
      <c r="E14" s="162">
        <v>5</v>
      </c>
      <c r="F14" s="162">
        <v>5</v>
      </c>
      <c r="G14" s="162">
        <v>1</v>
      </c>
      <c r="H14" s="162"/>
      <c r="I14" s="162">
        <v>1.9</v>
      </c>
      <c r="J14" s="162">
        <v>4.8899999999999997</v>
      </c>
      <c r="K14" s="162">
        <v>10.4</v>
      </c>
      <c r="L14" s="162">
        <v>6.2</v>
      </c>
      <c r="M14" s="162">
        <v>6</v>
      </c>
    </row>
    <row r="15" spans="1:13" x14ac:dyDescent="0.3">
      <c r="A15" s="162">
        <v>14</v>
      </c>
      <c r="B15" t="s">
        <v>34</v>
      </c>
      <c r="C15" s="162">
        <v>413</v>
      </c>
      <c r="D15" s="162"/>
      <c r="E15" s="162"/>
      <c r="F15" s="162">
        <v>5</v>
      </c>
      <c r="G15" s="162">
        <v>0</v>
      </c>
      <c r="H15" s="162">
        <v>1.6319999999999999</v>
      </c>
      <c r="I15" s="162">
        <v>1.2</v>
      </c>
      <c r="J15" s="162">
        <v>12.34</v>
      </c>
      <c r="K15" s="162">
        <v>9.1999999999999993</v>
      </c>
      <c r="L15" s="162">
        <v>9.6999999999999993</v>
      </c>
      <c r="M15" s="162">
        <v>7</v>
      </c>
    </row>
    <row r="16" spans="1:13" x14ac:dyDescent="0.3">
      <c r="A16" s="162">
        <v>15</v>
      </c>
      <c r="B16" t="s">
        <v>35</v>
      </c>
      <c r="C16" s="162">
        <v>26</v>
      </c>
      <c r="D16" s="162">
        <v>4</v>
      </c>
      <c r="E16" s="162">
        <v>4</v>
      </c>
      <c r="F16" s="162">
        <v>5</v>
      </c>
      <c r="G16" s="162">
        <v>1</v>
      </c>
      <c r="H16" s="162">
        <v>0.95599999999999996</v>
      </c>
      <c r="I16" s="162">
        <v>0.25</v>
      </c>
      <c r="J16" s="162">
        <v>8.6999999999999993</v>
      </c>
      <c r="K16" s="162">
        <v>40</v>
      </c>
      <c r="L16" s="162">
        <v>0</v>
      </c>
      <c r="M16" s="162">
        <v>17</v>
      </c>
    </row>
    <row r="17" spans="1:13" x14ac:dyDescent="0.3">
      <c r="A17" s="162">
        <v>16</v>
      </c>
      <c r="B17" t="s">
        <v>36</v>
      </c>
      <c r="C17" s="162">
        <v>294</v>
      </c>
      <c r="D17" s="162">
        <v>3</v>
      </c>
      <c r="E17" s="162">
        <v>3</v>
      </c>
      <c r="F17" s="162">
        <v>5</v>
      </c>
      <c r="G17" s="162">
        <v>1</v>
      </c>
      <c r="H17" s="162">
        <v>1.645</v>
      </c>
      <c r="I17" s="162">
        <v>0.82</v>
      </c>
      <c r="J17" s="162">
        <v>13.23</v>
      </c>
      <c r="K17" s="162">
        <v>10.199999999999999</v>
      </c>
      <c r="L17" s="162">
        <v>16.600000000000001</v>
      </c>
      <c r="M17" s="162">
        <v>11</v>
      </c>
    </row>
    <row r="18" spans="1:13" x14ac:dyDescent="0.3">
      <c r="A18" s="162">
        <v>17</v>
      </c>
      <c r="B18" t="s">
        <v>37</v>
      </c>
      <c r="C18" s="162">
        <v>283</v>
      </c>
      <c r="D18" s="162">
        <v>5</v>
      </c>
      <c r="E18" s="162">
        <v>5</v>
      </c>
      <c r="F18" s="162">
        <v>5</v>
      </c>
      <c r="G18" s="162">
        <v>1</v>
      </c>
      <c r="H18" s="162">
        <v>0.54</v>
      </c>
      <c r="I18" s="162">
        <v>1.5</v>
      </c>
      <c r="J18" s="162">
        <v>11.24</v>
      </c>
      <c r="K18" s="162">
        <v>11.1</v>
      </c>
      <c r="L18" s="162">
        <v>14.1</v>
      </c>
      <c r="M18" s="162">
        <v>9</v>
      </c>
    </row>
    <row r="19" spans="1:13" x14ac:dyDescent="0.3">
      <c r="A19" s="162">
        <v>18</v>
      </c>
      <c r="B19" t="s">
        <v>38</v>
      </c>
      <c r="C19" s="162">
        <v>127</v>
      </c>
      <c r="D19" s="162">
        <v>4</v>
      </c>
      <c r="E19" s="162">
        <v>3</v>
      </c>
      <c r="F19" s="162">
        <v>5</v>
      </c>
      <c r="G19" s="162">
        <v>1</v>
      </c>
      <c r="H19" s="162">
        <v>0.68700000000000006</v>
      </c>
      <c r="I19" s="162">
        <v>1.22</v>
      </c>
      <c r="J19" s="162">
        <v>12.88</v>
      </c>
      <c r="K19" s="162">
        <v>12.5</v>
      </c>
      <c r="L19" s="162">
        <v>9.1</v>
      </c>
      <c r="M19" s="162">
        <v>9.5</v>
      </c>
    </row>
    <row r="20" spans="1:13" x14ac:dyDescent="0.3">
      <c r="A20" s="162">
        <v>19</v>
      </c>
      <c r="B20" t="s">
        <v>39</v>
      </c>
      <c r="C20" s="162">
        <v>51</v>
      </c>
      <c r="D20" s="162"/>
      <c r="E20" s="162"/>
      <c r="F20" s="162">
        <v>5</v>
      </c>
      <c r="G20" s="162">
        <v>0</v>
      </c>
      <c r="H20" s="162">
        <v>0.81299999999999994</v>
      </c>
      <c r="I20" s="162">
        <v>1.1100000000000001</v>
      </c>
      <c r="J20" s="162">
        <v>16.98</v>
      </c>
      <c r="K20" s="162">
        <v>25</v>
      </c>
      <c r="L20" s="162">
        <v>6.1</v>
      </c>
      <c r="M20" s="162">
        <v>7</v>
      </c>
    </row>
    <row r="21" spans="1:13" x14ac:dyDescent="0.3">
      <c r="A21" s="162">
        <v>20</v>
      </c>
      <c r="B21" t="s">
        <v>40</v>
      </c>
      <c r="C21" s="162">
        <v>174</v>
      </c>
      <c r="D21" s="162">
        <v>4</v>
      </c>
      <c r="E21" s="162">
        <v>4</v>
      </c>
      <c r="F21" s="162">
        <v>5</v>
      </c>
      <c r="G21" s="162">
        <v>1</v>
      </c>
      <c r="H21" s="162">
        <v>0.88500000000000001</v>
      </c>
      <c r="I21" s="162">
        <v>0.67</v>
      </c>
      <c r="J21" s="162">
        <v>20.91</v>
      </c>
      <c r="K21" s="162">
        <v>17.3</v>
      </c>
      <c r="L21" s="162">
        <v>20.399999999999999</v>
      </c>
      <c r="M21" s="162">
        <v>7</v>
      </c>
    </row>
    <row r="22" spans="1:13" x14ac:dyDescent="0.3">
      <c r="A22" s="162">
        <v>21</v>
      </c>
      <c r="B22" t="s">
        <v>41</v>
      </c>
      <c r="C22" s="162">
        <v>109</v>
      </c>
      <c r="D22" s="162"/>
      <c r="E22" s="162"/>
      <c r="F22" s="162">
        <v>4</v>
      </c>
      <c r="G22" s="162">
        <v>0</v>
      </c>
      <c r="H22" s="162">
        <v>0.84699999999999998</v>
      </c>
      <c r="I22" s="162">
        <v>0.67</v>
      </c>
      <c r="J22" s="162">
        <v>8.84</v>
      </c>
      <c r="K22" s="162">
        <v>13.3</v>
      </c>
      <c r="L22" s="162">
        <v>17.399999999999999</v>
      </c>
      <c r="M22" s="162">
        <v>7</v>
      </c>
    </row>
    <row r="23" spans="1:13" x14ac:dyDescent="0.3">
      <c r="A23" s="162">
        <v>22</v>
      </c>
      <c r="B23" t="s">
        <v>42</v>
      </c>
      <c r="C23" s="162">
        <v>217</v>
      </c>
      <c r="D23" s="162">
        <v>5</v>
      </c>
      <c r="E23" s="162">
        <v>5</v>
      </c>
      <c r="F23" s="162">
        <v>4</v>
      </c>
      <c r="G23" s="162">
        <v>1</v>
      </c>
      <c r="H23" s="162"/>
      <c r="I23" s="162">
        <v>1.08</v>
      </c>
      <c r="J23" s="162">
        <v>9.0500000000000007</v>
      </c>
      <c r="K23" s="162">
        <v>18.5</v>
      </c>
      <c r="L23" s="162">
        <v>13.3</v>
      </c>
      <c r="M23" s="162">
        <v>10</v>
      </c>
    </row>
    <row r="24" spans="1:13" x14ac:dyDescent="0.3">
      <c r="A24" s="162">
        <v>23</v>
      </c>
      <c r="B24" t="s">
        <v>43</v>
      </c>
      <c r="C24" s="162">
        <v>234</v>
      </c>
      <c r="D24" s="162">
        <v>4</v>
      </c>
      <c r="E24" s="162">
        <v>3</v>
      </c>
      <c r="F24" s="162">
        <v>4</v>
      </c>
      <c r="G24" s="162">
        <v>1</v>
      </c>
      <c r="H24" s="162">
        <v>0.72799999999999998</v>
      </c>
      <c r="I24" s="162">
        <v>1.1299999999999999</v>
      </c>
      <c r="J24" s="162">
        <v>11.15</v>
      </c>
      <c r="K24" s="162">
        <v>19.100000000000001</v>
      </c>
      <c r="L24" s="162">
        <v>16.899999999999999</v>
      </c>
      <c r="M24" s="162">
        <v>12</v>
      </c>
    </row>
    <row r="25" spans="1:13" x14ac:dyDescent="0.3">
      <c r="A25" s="162">
        <v>24</v>
      </c>
      <c r="B25" t="s">
        <v>44</v>
      </c>
      <c r="C25" s="162">
        <v>245</v>
      </c>
      <c r="D25" s="162">
        <v>5</v>
      </c>
      <c r="E25" s="162">
        <v>4</v>
      </c>
      <c r="F25" s="162">
        <v>4</v>
      </c>
      <c r="G25" s="162">
        <v>1</v>
      </c>
      <c r="H25" s="162">
        <v>0.72599999999999998</v>
      </c>
      <c r="I25" s="162">
        <v>0.94</v>
      </c>
      <c r="J25" s="162">
        <v>12</v>
      </c>
      <c r="K25" s="162">
        <v>13.1</v>
      </c>
      <c r="L25" s="162">
        <v>26.7</v>
      </c>
      <c r="M25" s="162">
        <v>16</v>
      </c>
    </row>
    <row r="26" spans="1:13" x14ac:dyDescent="0.3">
      <c r="A26" s="162">
        <v>25</v>
      </c>
      <c r="B26" t="s">
        <v>45</v>
      </c>
      <c r="C26" s="162">
        <v>71</v>
      </c>
      <c r="D26" s="162"/>
      <c r="E26" s="162"/>
      <c r="F26" s="162">
        <v>4</v>
      </c>
      <c r="G26" s="162">
        <v>0</v>
      </c>
      <c r="H26" s="162">
        <v>0.73499999999999999</v>
      </c>
      <c r="I26" s="162">
        <v>0.57999999999999996</v>
      </c>
      <c r="J26" s="162">
        <v>8.48</v>
      </c>
      <c r="K26" s="162">
        <v>13.5</v>
      </c>
      <c r="L26" s="162">
        <v>26.5</v>
      </c>
      <c r="M26" s="162">
        <v>14</v>
      </c>
    </row>
    <row r="27" spans="1:13" x14ac:dyDescent="0.3">
      <c r="A27" s="162">
        <v>26</v>
      </c>
      <c r="B27" t="s">
        <v>46</v>
      </c>
      <c r="C27" s="162">
        <v>372</v>
      </c>
      <c r="D27" s="162">
        <v>4</v>
      </c>
      <c r="E27" s="162">
        <v>4</v>
      </c>
      <c r="F27" s="162">
        <v>4</v>
      </c>
      <c r="G27" s="162">
        <v>1</v>
      </c>
      <c r="H27" s="162">
        <v>1.36</v>
      </c>
      <c r="I27" s="162">
        <v>1.17</v>
      </c>
      <c r="J27" s="162">
        <v>13.52</v>
      </c>
      <c r="K27" s="162">
        <v>14.8</v>
      </c>
      <c r="L27" s="162">
        <v>16</v>
      </c>
      <c r="M27" s="162">
        <v>9</v>
      </c>
    </row>
    <row r="28" spans="1:13" x14ac:dyDescent="0.3">
      <c r="A28" s="162">
        <v>27</v>
      </c>
      <c r="B28" t="s">
        <v>47</v>
      </c>
      <c r="C28" s="162">
        <v>24</v>
      </c>
      <c r="D28" s="162"/>
      <c r="E28" s="162"/>
      <c r="F28" s="162">
        <v>4</v>
      </c>
      <c r="G28" s="162">
        <v>0</v>
      </c>
      <c r="H28" s="162"/>
      <c r="I28" s="162">
        <v>0.19</v>
      </c>
      <c r="J28" s="162">
        <v>11.42</v>
      </c>
      <c r="K28" s="162">
        <v>0</v>
      </c>
      <c r="L28" s="162">
        <v>10.3</v>
      </c>
      <c r="M28" s="162">
        <v>16</v>
      </c>
    </row>
    <row r="29" spans="1:13" x14ac:dyDescent="0.3">
      <c r="A29" s="162">
        <v>28</v>
      </c>
      <c r="B29" t="s">
        <v>48</v>
      </c>
      <c r="C29" s="162">
        <v>40</v>
      </c>
      <c r="D29" s="162">
        <v>4</v>
      </c>
      <c r="E29" s="162">
        <v>3</v>
      </c>
      <c r="F29" s="162">
        <v>4</v>
      </c>
      <c r="G29" s="162">
        <v>1</v>
      </c>
      <c r="H29" s="162"/>
      <c r="I29" s="162"/>
      <c r="J29" s="162">
        <v>19.91</v>
      </c>
      <c r="K29" s="162"/>
      <c r="L29" s="162">
        <v>13</v>
      </c>
      <c r="M29" s="162"/>
    </row>
    <row r="30" spans="1:13" x14ac:dyDescent="0.3">
      <c r="A30" s="162">
        <v>29</v>
      </c>
      <c r="B30" t="s">
        <v>49</v>
      </c>
      <c r="C30" s="162">
        <v>285</v>
      </c>
      <c r="D30" s="162"/>
      <c r="E30" s="162"/>
      <c r="F30" s="162">
        <v>4</v>
      </c>
      <c r="G30" s="162">
        <v>0</v>
      </c>
      <c r="H30" s="162">
        <v>0.90400000000000003</v>
      </c>
      <c r="I30" s="162">
        <v>0.67</v>
      </c>
      <c r="J30" s="162">
        <v>8.5399999999999991</v>
      </c>
      <c r="K30" s="162">
        <v>10.7</v>
      </c>
      <c r="L30" s="162">
        <v>11.1</v>
      </c>
      <c r="M30" s="162">
        <v>8.5</v>
      </c>
    </row>
    <row r="31" spans="1:13" x14ac:dyDescent="0.3">
      <c r="A31" s="162">
        <v>30</v>
      </c>
      <c r="B31" t="s">
        <v>50</v>
      </c>
      <c r="C31" s="162">
        <v>389</v>
      </c>
      <c r="D31" s="162">
        <v>5</v>
      </c>
      <c r="E31" s="162">
        <v>4</v>
      </c>
      <c r="F31" s="162">
        <v>4</v>
      </c>
      <c r="G31" s="162">
        <v>1</v>
      </c>
      <c r="H31" s="162">
        <v>2.073</v>
      </c>
      <c r="I31" s="162">
        <v>0.67</v>
      </c>
      <c r="J31" s="162">
        <v>9.48</v>
      </c>
      <c r="K31" s="162">
        <v>15</v>
      </c>
      <c r="L31" s="162">
        <v>13.2</v>
      </c>
      <c r="M31" s="162">
        <v>25</v>
      </c>
    </row>
    <row r="32" spans="1:13" x14ac:dyDescent="0.3">
      <c r="A32" s="162">
        <v>31</v>
      </c>
      <c r="B32" t="s">
        <v>51</v>
      </c>
      <c r="C32" s="162">
        <v>156</v>
      </c>
      <c r="D32" s="162">
        <v>3</v>
      </c>
      <c r="E32" s="162">
        <v>3</v>
      </c>
      <c r="F32" s="162">
        <v>4</v>
      </c>
      <c r="G32" s="162">
        <v>1</v>
      </c>
      <c r="H32" s="162">
        <v>1.8839999999999999</v>
      </c>
      <c r="I32" s="162">
        <v>0.64</v>
      </c>
      <c r="J32" s="162">
        <v>24.33</v>
      </c>
      <c r="K32" s="162">
        <v>11</v>
      </c>
      <c r="L32" s="162">
        <v>10.5</v>
      </c>
      <c r="M32" s="162">
        <v>11</v>
      </c>
    </row>
    <row r="33" spans="1:13" x14ac:dyDescent="0.3">
      <c r="A33" s="162">
        <v>32</v>
      </c>
      <c r="B33" t="s">
        <v>52</v>
      </c>
      <c r="C33" s="162">
        <v>279</v>
      </c>
      <c r="D33" s="162"/>
      <c r="E33" s="162"/>
      <c r="F33" s="162">
        <v>4</v>
      </c>
      <c r="G33" s="162">
        <v>0</v>
      </c>
      <c r="H33" s="162"/>
      <c r="I33" s="162">
        <v>0.9</v>
      </c>
      <c r="J33" s="162">
        <v>16.93</v>
      </c>
      <c r="K33" s="162">
        <v>10.9</v>
      </c>
      <c r="L33" s="162">
        <v>7.7</v>
      </c>
      <c r="M33" s="162">
        <v>11</v>
      </c>
    </row>
    <row r="34" spans="1:13" x14ac:dyDescent="0.3">
      <c r="A34" s="162">
        <v>33</v>
      </c>
      <c r="B34" t="s">
        <v>53</v>
      </c>
      <c r="C34" s="162">
        <v>245</v>
      </c>
      <c r="D34" s="162"/>
      <c r="E34" s="162"/>
      <c r="F34" s="162">
        <v>4</v>
      </c>
      <c r="G34" s="162">
        <v>0</v>
      </c>
      <c r="H34" s="162">
        <v>0.83499999999999996</v>
      </c>
      <c r="I34" s="162">
        <v>0.98</v>
      </c>
      <c r="J34" s="162">
        <v>6.68</v>
      </c>
      <c r="K34" s="162">
        <v>11.3</v>
      </c>
      <c r="L34" s="162">
        <v>9.3000000000000007</v>
      </c>
      <c r="M34" s="162">
        <v>10</v>
      </c>
    </row>
    <row r="35" spans="1:13" x14ac:dyDescent="0.3">
      <c r="A35" s="162">
        <v>34</v>
      </c>
      <c r="B35" t="s">
        <v>54</v>
      </c>
      <c r="C35" s="162">
        <v>314</v>
      </c>
      <c r="D35" s="162">
        <v>4</v>
      </c>
      <c r="E35" s="162">
        <v>5</v>
      </c>
      <c r="F35" s="162">
        <v>4</v>
      </c>
      <c r="G35" s="162">
        <v>1</v>
      </c>
      <c r="H35" s="162">
        <v>0.85199999999999998</v>
      </c>
      <c r="I35" s="162">
        <v>1.78</v>
      </c>
      <c r="J35" s="162">
        <v>5.12</v>
      </c>
      <c r="K35" s="162">
        <v>12.2</v>
      </c>
      <c r="L35" s="162">
        <v>3.4</v>
      </c>
      <c r="M35" s="162">
        <v>10</v>
      </c>
    </row>
    <row r="36" spans="1:13" x14ac:dyDescent="0.3">
      <c r="A36" s="162">
        <v>35</v>
      </c>
      <c r="B36" t="s">
        <v>55</v>
      </c>
      <c r="C36" s="162">
        <v>9</v>
      </c>
      <c r="D36" s="162">
        <v>3</v>
      </c>
      <c r="E36" s="162">
        <v>4</v>
      </c>
      <c r="F36" s="162">
        <v>4</v>
      </c>
      <c r="G36" s="162">
        <v>1</v>
      </c>
      <c r="H36" s="162">
        <v>2.778</v>
      </c>
      <c r="I36" s="162">
        <v>0.53</v>
      </c>
      <c r="J36" s="162">
        <v>22.3</v>
      </c>
      <c r="K36" s="162">
        <v>12.5</v>
      </c>
      <c r="L36" s="162">
        <v>12.1</v>
      </c>
      <c r="M36" s="162">
        <v>10</v>
      </c>
    </row>
    <row r="37" spans="1:13" x14ac:dyDescent="0.3">
      <c r="A37" s="162">
        <v>36</v>
      </c>
      <c r="B37" t="s">
        <v>56</v>
      </c>
      <c r="C37" s="162">
        <v>277</v>
      </c>
      <c r="D37" s="162">
        <v>5</v>
      </c>
      <c r="E37" s="162">
        <v>5</v>
      </c>
      <c r="F37" s="162">
        <v>4</v>
      </c>
      <c r="G37" s="162">
        <v>1</v>
      </c>
      <c r="H37" s="162">
        <v>0.95699999999999996</v>
      </c>
      <c r="I37" s="162">
        <v>1.5</v>
      </c>
      <c r="J37" s="162">
        <v>8.99</v>
      </c>
      <c r="K37" s="162">
        <v>9.6</v>
      </c>
      <c r="L37" s="162">
        <v>8.9</v>
      </c>
      <c r="M37" s="162">
        <v>6</v>
      </c>
    </row>
    <row r="38" spans="1:13" x14ac:dyDescent="0.3">
      <c r="A38" s="162">
        <v>37</v>
      </c>
      <c r="B38" t="s">
        <v>57</v>
      </c>
      <c r="C38" s="162">
        <v>531</v>
      </c>
      <c r="D38" s="162"/>
      <c r="E38" s="162"/>
      <c r="F38" s="162">
        <v>4</v>
      </c>
      <c r="G38" s="162">
        <v>0</v>
      </c>
      <c r="H38" s="162">
        <v>0.70799999999999996</v>
      </c>
      <c r="I38" s="162">
        <v>1.74</v>
      </c>
      <c r="J38" s="162">
        <v>14.46</v>
      </c>
      <c r="K38" s="162">
        <v>10.1</v>
      </c>
      <c r="L38" s="162">
        <v>11.8</v>
      </c>
      <c r="M38" s="162">
        <v>9</v>
      </c>
    </row>
    <row r="39" spans="1:13" x14ac:dyDescent="0.3">
      <c r="A39" s="162">
        <v>38</v>
      </c>
      <c r="B39" t="s">
        <v>58</v>
      </c>
      <c r="C39" s="162">
        <v>85</v>
      </c>
      <c r="D39" s="162">
        <v>4</v>
      </c>
      <c r="E39" s="162">
        <v>3</v>
      </c>
      <c r="F39" s="162">
        <v>4</v>
      </c>
      <c r="G39" s="162">
        <v>1</v>
      </c>
      <c r="H39" s="162">
        <v>1.083</v>
      </c>
      <c r="I39" s="162">
        <v>0.86</v>
      </c>
      <c r="J39" s="162">
        <v>10.77</v>
      </c>
      <c r="K39" s="162">
        <v>11.4</v>
      </c>
      <c r="L39" s="162">
        <v>28</v>
      </c>
      <c r="M39" s="162">
        <v>12</v>
      </c>
    </row>
    <row r="40" spans="1:13" x14ac:dyDescent="0.3">
      <c r="A40" s="162">
        <v>39</v>
      </c>
      <c r="B40" t="s">
        <v>59</v>
      </c>
      <c r="C40" s="162">
        <v>147</v>
      </c>
      <c r="D40" s="162"/>
      <c r="E40" s="162"/>
      <c r="F40" s="162">
        <v>4</v>
      </c>
      <c r="G40" s="162">
        <v>0</v>
      </c>
      <c r="H40" s="162"/>
      <c r="I40" s="162">
        <v>0.87</v>
      </c>
      <c r="J40" s="162">
        <v>14.64</v>
      </c>
      <c r="K40" s="162">
        <v>14.1</v>
      </c>
      <c r="L40" s="162">
        <v>25</v>
      </c>
      <c r="M40" s="162">
        <v>12</v>
      </c>
    </row>
    <row r="41" spans="1:13" x14ac:dyDescent="0.3">
      <c r="A41" s="162">
        <v>40</v>
      </c>
      <c r="B41" t="s">
        <v>60</v>
      </c>
      <c r="C41" s="162">
        <v>246</v>
      </c>
      <c r="D41" s="162">
        <v>3</v>
      </c>
      <c r="E41" s="162">
        <v>3</v>
      </c>
      <c r="F41" s="162">
        <v>4</v>
      </c>
      <c r="G41" s="162">
        <v>1</v>
      </c>
      <c r="H41" s="162"/>
      <c r="I41" s="162">
        <v>2.5099999999999998</v>
      </c>
      <c r="J41" s="162">
        <v>8.06</v>
      </c>
      <c r="K41" s="162">
        <v>12.1</v>
      </c>
      <c r="L41" s="162">
        <v>12.3</v>
      </c>
      <c r="M41" s="162">
        <v>10</v>
      </c>
    </row>
    <row r="42" spans="1:13" x14ac:dyDescent="0.3">
      <c r="A42" s="162">
        <v>41</v>
      </c>
      <c r="B42" t="s">
        <v>61</v>
      </c>
      <c r="C42" s="162">
        <v>364</v>
      </c>
      <c r="D42" s="162">
        <v>4</v>
      </c>
      <c r="E42" s="162">
        <v>4</v>
      </c>
      <c r="F42" s="162">
        <v>4</v>
      </c>
      <c r="G42" s="162">
        <v>1</v>
      </c>
      <c r="H42" s="162">
        <v>0.97699999999999998</v>
      </c>
      <c r="I42" s="162">
        <v>1.01</v>
      </c>
      <c r="J42" s="162">
        <v>11.03</v>
      </c>
      <c r="K42" s="162">
        <v>15.6</v>
      </c>
      <c r="L42" s="162">
        <v>17.2</v>
      </c>
      <c r="M42" s="162">
        <v>9</v>
      </c>
    </row>
    <row r="43" spans="1:13" x14ac:dyDescent="0.3">
      <c r="A43" s="162">
        <v>42</v>
      </c>
      <c r="B43" t="s">
        <v>62</v>
      </c>
      <c r="C43" s="162">
        <v>199</v>
      </c>
      <c r="D43" s="162"/>
      <c r="E43" s="162"/>
      <c r="F43" s="162">
        <v>4</v>
      </c>
      <c r="G43" s="162">
        <v>0</v>
      </c>
      <c r="H43" s="162">
        <v>1.0860000000000001</v>
      </c>
      <c r="I43" s="162">
        <v>1.85</v>
      </c>
      <c r="J43" s="162">
        <v>14.71</v>
      </c>
      <c r="K43" s="162">
        <v>13.7</v>
      </c>
      <c r="L43" s="162">
        <v>12</v>
      </c>
      <c r="M43" s="162">
        <v>6</v>
      </c>
    </row>
    <row r="44" spans="1:13" x14ac:dyDescent="0.3">
      <c r="A44" s="162">
        <v>43</v>
      </c>
      <c r="B44" t="s">
        <v>63</v>
      </c>
      <c r="C44" s="162">
        <v>125</v>
      </c>
      <c r="D44" s="162"/>
      <c r="E44" s="162"/>
      <c r="F44" s="162">
        <v>4</v>
      </c>
      <c r="G44" s="162">
        <v>0</v>
      </c>
      <c r="H44" s="162">
        <v>0.73199999999999998</v>
      </c>
      <c r="I44" s="162">
        <v>1.31</v>
      </c>
      <c r="J44" s="162">
        <v>15.83</v>
      </c>
      <c r="K44" s="162">
        <v>16.5</v>
      </c>
      <c r="L44" s="162">
        <v>13.7</v>
      </c>
      <c r="M44" s="162">
        <v>11</v>
      </c>
    </row>
    <row r="45" spans="1:13" x14ac:dyDescent="0.3">
      <c r="A45" s="162">
        <v>44</v>
      </c>
      <c r="B45" t="s">
        <v>64</v>
      </c>
      <c r="C45" s="162">
        <v>11</v>
      </c>
      <c r="D45" s="162">
        <v>4</v>
      </c>
      <c r="E45" s="162">
        <v>3</v>
      </c>
      <c r="F45" s="162">
        <v>4</v>
      </c>
      <c r="G45" s="162">
        <v>1</v>
      </c>
      <c r="H45" s="162">
        <v>0.995</v>
      </c>
      <c r="I45" s="162"/>
      <c r="J45" s="162">
        <v>19.93</v>
      </c>
      <c r="K45" s="162"/>
      <c r="L45" s="162">
        <v>6</v>
      </c>
      <c r="M45" s="162"/>
    </row>
    <row r="46" spans="1:13" x14ac:dyDescent="0.3">
      <c r="A46" s="162">
        <v>45</v>
      </c>
      <c r="B46" t="s">
        <v>65</v>
      </c>
      <c r="C46" s="162">
        <v>165</v>
      </c>
      <c r="D46" s="162"/>
      <c r="E46" s="162"/>
      <c r="F46" s="162">
        <v>4</v>
      </c>
      <c r="G46" s="162">
        <v>0</v>
      </c>
      <c r="H46" s="162">
        <v>1.5760000000000001</v>
      </c>
      <c r="I46" s="162">
        <v>0.83</v>
      </c>
      <c r="J46" s="162">
        <v>28.53</v>
      </c>
      <c r="K46" s="162">
        <v>12.2</v>
      </c>
      <c r="L46" s="162">
        <v>22.6</v>
      </c>
      <c r="M46" s="162">
        <v>13</v>
      </c>
    </row>
    <row r="47" spans="1:13" x14ac:dyDescent="0.3">
      <c r="A47" s="162">
        <v>46</v>
      </c>
      <c r="B47" t="s">
        <v>66</v>
      </c>
      <c r="C47" s="162">
        <v>154</v>
      </c>
      <c r="D47" s="162"/>
      <c r="E47" s="162"/>
      <c r="F47" s="162">
        <v>4</v>
      </c>
      <c r="G47" s="162">
        <v>0</v>
      </c>
      <c r="H47" s="162">
        <v>0.753</v>
      </c>
      <c r="I47" s="162">
        <v>0.79</v>
      </c>
      <c r="J47" s="162">
        <v>12.64</v>
      </c>
      <c r="K47" s="162">
        <v>10.1</v>
      </c>
      <c r="L47" s="162">
        <v>15</v>
      </c>
      <c r="M47" s="162">
        <v>7.5</v>
      </c>
    </row>
    <row r="48" spans="1:13" x14ac:dyDescent="0.3">
      <c r="A48" s="162">
        <v>47</v>
      </c>
      <c r="B48" t="s">
        <v>67</v>
      </c>
      <c r="C48" s="162">
        <v>218</v>
      </c>
      <c r="D48" s="162">
        <v>3</v>
      </c>
      <c r="E48" s="162">
        <v>4</v>
      </c>
      <c r="F48" s="162">
        <v>4</v>
      </c>
      <c r="G48" s="162">
        <v>1</v>
      </c>
      <c r="H48" s="162">
        <v>0.66600000000000004</v>
      </c>
      <c r="I48" s="162">
        <v>0.98</v>
      </c>
      <c r="J48" s="162">
        <v>22.86</v>
      </c>
      <c r="K48" s="162">
        <v>9.4</v>
      </c>
      <c r="L48" s="162">
        <v>14.5</v>
      </c>
      <c r="M48" s="162">
        <v>9</v>
      </c>
    </row>
    <row r="49" spans="1:13" x14ac:dyDescent="0.3">
      <c r="A49" s="162">
        <v>48</v>
      </c>
      <c r="B49" t="s">
        <v>68</v>
      </c>
      <c r="C49" s="162">
        <v>384</v>
      </c>
      <c r="D49" s="162">
        <v>5</v>
      </c>
      <c r="E49" s="162">
        <v>5</v>
      </c>
      <c r="F49" s="162">
        <v>4</v>
      </c>
      <c r="G49" s="162">
        <v>1</v>
      </c>
      <c r="H49" s="162">
        <v>0.59299999999999997</v>
      </c>
      <c r="I49" s="162">
        <v>2.17</v>
      </c>
      <c r="J49" s="162">
        <v>8.32</v>
      </c>
      <c r="K49" s="162">
        <v>11.7</v>
      </c>
      <c r="L49" s="162">
        <v>3.6</v>
      </c>
      <c r="M49" s="162">
        <v>6</v>
      </c>
    </row>
    <row r="50" spans="1:13" x14ac:dyDescent="0.3">
      <c r="A50" s="162">
        <v>49</v>
      </c>
      <c r="B50" t="s">
        <v>69</v>
      </c>
      <c r="C50" s="162">
        <v>220</v>
      </c>
      <c r="D50" s="162">
        <v>3</v>
      </c>
      <c r="E50" s="162">
        <v>3</v>
      </c>
      <c r="F50" s="162">
        <v>4</v>
      </c>
      <c r="G50" s="162">
        <v>1</v>
      </c>
      <c r="H50" s="162">
        <v>0.80800000000000005</v>
      </c>
      <c r="I50" s="162">
        <v>1.1200000000000001</v>
      </c>
      <c r="J50" s="162">
        <v>7.82</v>
      </c>
      <c r="K50" s="162">
        <v>12</v>
      </c>
      <c r="L50" s="162">
        <v>17</v>
      </c>
      <c r="M50" s="162">
        <v>7</v>
      </c>
    </row>
    <row r="51" spans="1:13" x14ac:dyDescent="0.3">
      <c r="A51" s="162">
        <v>50</v>
      </c>
      <c r="B51" t="s">
        <v>70</v>
      </c>
      <c r="C51" s="162">
        <v>58</v>
      </c>
      <c r="D51" s="162">
        <v>4</v>
      </c>
      <c r="E51" s="162">
        <v>3</v>
      </c>
      <c r="F51" s="162">
        <v>3</v>
      </c>
      <c r="G51" s="162">
        <v>1</v>
      </c>
      <c r="H51" s="162">
        <v>3.9089999999999998</v>
      </c>
      <c r="I51" s="162">
        <v>0.22</v>
      </c>
      <c r="J51" s="162">
        <v>12.66</v>
      </c>
      <c r="K51" s="162">
        <v>21.4</v>
      </c>
      <c r="L51" s="162">
        <v>6.2</v>
      </c>
      <c r="M51" s="162">
        <v>11.5</v>
      </c>
    </row>
    <row r="52" spans="1:13" x14ac:dyDescent="0.3">
      <c r="A52" s="162">
        <v>51</v>
      </c>
      <c r="B52" t="s">
        <v>71</v>
      </c>
      <c r="C52" s="162">
        <v>179</v>
      </c>
      <c r="D52" s="162"/>
      <c r="E52" s="162"/>
      <c r="F52" s="162">
        <v>3</v>
      </c>
      <c r="G52" s="162">
        <v>0</v>
      </c>
      <c r="H52" s="162">
        <v>0.79300000000000004</v>
      </c>
      <c r="I52" s="162">
        <v>1.1599999999999999</v>
      </c>
      <c r="J52" s="162">
        <v>8.57</v>
      </c>
      <c r="K52" s="162">
        <v>14.3</v>
      </c>
      <c r="L52" s="162">
        <v>10.3</v>
      </c>
      <c r="M52" s="162">
        <v>6</v>
      </c>
    </row>
    <row r="53" spans="1:13" x14ac:dyDescent="0.3">
      <c r="A53" s="162">
        <v>52</v>
      </c>
      <c r="B53" t="s">
        <v>72</v>
      </c>
      <c r="C53" s="162">
        <v>138</v>
      </c>
      <c r="D53" s="162"/>
      <c r="E53" s="162"/>
      <c r="F53" s="162">
        <v>3</v>
      </c>
      <c r="G53" s="162">
        <v>0</v>
      </c>
      <c r="H53" s="162">
        <v>0.88700000000000001</v>
      </c>
      <c r="I53" s="162">
        <v>0.59</v>
      </c>
      <c r="J53" s="162">
        <v>11.04</v>
      </c>
      <c r="K53" s="162">
        <v>11.4</v>
      </c>
      <c r="L53" s="162">
        <v>21.3</v>
      </c>
      <c r="M53" s="162">
        <v>13</v>
      </c>
    </row>
    <row r="54" spans="1:13" x14ac:dyDescent="0.3">
      <c r="A54" s="162">
        <v>53</v>
      </c>
      <c r="B54" t="s">
        <v>73</v>
      </c>
      <c r="C54" s="162">
        <v>221</v>
      </c>
      <c r="D54" s="162">
        <v>4</v>
      </c>
      <c r="E54" s="162">
        <v>3</v>
      </c>
      <c r="F54" s="162">
        <v>3</v>
      </c>
      <c r="G54" s="162">
        <v>1</v>
      </c>
      <c r="H54" s="162">
        <v>0.96399999999999997</v>
      </c>
      <c r="I54" s="162">
        <v>0.87</v>
      </c>
      <c r="J54" s="162">
        <v>14.5</v>
      </c>
      <c r="K54" s="162">
        <v>18.600000000000001</v>
      </c>
      <c r="L54" s="162">
        <v>11.4</v>
      </c>
      <c r="M54" s="162">
        <v>12.5</v>
      </c>
    </row>
    <row r="55" spans="1:13" x14ac:dyDescent="0.3">
      <c r="A55" s="162">
        <v>54</v>
      </c>
      <c r="B55" t="s">
        <v>74</v>
      </c>
      <c r="C55" s="162">
        <v>192</v>
      </c>
      <c r="D55" s="162"/>
      <c r="E55" s="162"/>
      <c r="F55" s="162">
        <v>3</v>
      </c>
      <c r="G55" s="162">
        <v>0</v>
      </c>
      <c r="H55" s="162"/>
      <c r="I55" s="162">
        <v>0.76</v>
      </c>
      <c r="J55" s="162">
        <v>5.9</v>
      </c>
      <c r="K55" s="162">
        <v>11.2</v>
      </c>
      <c r="L55" s="162">
        <v>16.8</v>
      </c>
      <c r="M55" s="162">
        <v>8</v>
      </c>
    </row>
    <row r="56" spans="1:13" x14ac:dyDescent="0.3">
      <c r="A56" s="162">
        <v>55</v>
      </c>
      <c r="B56" t="s">
        <v>75</v>
      </c>
      <c r="C56" s="162">
        <v>34</v>
      </c>
      <c r="D56" s="162">
        <v>2</v>
      </c>
      <c r="E56" s="162">
        <v>4</v>
      </c>
      <c r="F56" s="162">
        <v>3</v>
      </c>
      <c r="G56" s="162">
        <v>1</v>
      </c>
      <c r="H56" s="162">
        <v>0.97399999999999998</v>
      </c>
      <c r="I56" s="162">
        <v>0.43</v>
      </c>
      <c r="J56" s="162">
        <v>8.31</v>
      </c>
      <c r="K56" s="162">
        <v>17.399999999999999</v>
      </c>
      <c r="L56" s="162">
        <v>29.4</v>
      </c>
      <c r="M56" s="162">
        <v>16</v>
      </c>
    </row>
    <row r="57" spans="1:13" x14ac:dyDescent="0.3">
      <c r="A57" s="162">
        <v>56</v>
      </c>
      <c r="B57" t="s">
        <v>76</v>
      </c>
      <c r="C57" s="162">
        <v>299</v>
      </c>
      <c r="D57" s="162">
        <v>3</v>
      </c>
      <c r="E57" s="162">
        <v>3</v>
      </c>
      <c r="F57" s="162">
        <v>3</v>
      </c>
      <c r="G57" s="162">
        <v>1</v>
      </c>
      <c r="H57" s="162">
        <v>0.52800000000000002</v>
      </c>
      <c r="I57" s="162">
        <v>1.02</v>
      </c>
      <c r="J57" s="162">
        <v>12.98</v>
      </c>
      <c r="K57" s="162">
        <v>8.9</v>
      </c>
      <c r="L57" s="162">
        <v>7.2</v>
      </c>
      <c r="M57" s="162">
        <v>9</v>
      </c>
    </row>
    <row r="58" spans="1:13" x14ac:dyDescent="0.3">
      <c r="A58" s="162">
        <v>57</v>
      </c>
      <c r="B58" t="s">
        <v>77</v>
      </c>
      <c r="C58" s="162">
        <v>256</v>
      </c>
      <c r="D58" s="162"/>
      <c r="E58" s="162"/>
      <c r="F58" s="162">
        <v>3</v>
      </c>
      <c r="G58" s="162">
        <v>0</v>
      </c>
      <c r="H58" s="162">
        <v>0.85799999999999998</v>
      </c>
      <c r="I58" s="162">
        <v>1.1299999999999999</v>
      </c>
      <c r="J58" s="162">
        <v>13.08</v>
      </c>
      <c r="K58" s="162">
        <v>17.5</v>
      </c>
      <c r="L58" s="162">
        <v>14.9</v>
      </c>
      <c r="M58" s="162">
        <v>9</v>
      </c>
    </row>
    <row r="59" spans="1:13" x14ac:dyDescent="0.3">
      <c r="A59" s="162">
        <v>58</v>
      </c>
      <c r="B59" t="s">
        <v>78</v>
      </c>
      <c r="C59" s="162">
        <v>144</v>
      </c>
      <c r="D59" s="162"/>
      <c r="E59" s="162"/>
      <c r="F59" s="162">
        <v>3</v>
      </c>
      <c r="G59" s="162">
        <v>0</v>
      </c>
      <c r="H59" s="162">
        <v>0.94899999999999995</v>
      </c>
      <c r="I59" s="162">
        <v>0.78</v>
      </c>
      <c r="J59" s="162">
        <v>19.649999999999999</v>
      </c>
      <c r="K59" s="162">
        <v>11.4</v>
      </c>
      <c r="L59" s="162">
        <v>17.100000000000001</v>
      </c>
      <c r="M59" s="162">
        <v>10</v>
      </c>
    </row>
    <row r="60" spans="1:13" x14ac:dyDescent="0.3">
      <c r="A60" s="162">
        <v>59</v>
      </c>
      <c r="B60" t="s">
        <v>79</v>
      </c>
      <c r="C60" s="162">
        <v>533</v>
      </c>
      <c r="D60" s="162">
        <v>5</v>
      </c>
      <c r="E60" s="162">
        <v>5</v>
      </c>
      <c r="F60" s="162">
        <v>3</v>
      </c>
      <c r="G60" s="162">
        <v>1</v>
      </c>
      <c r="H60" s="162">
        <v>1.6779999999999999</v>
      </c>
      <c r="I60" s="162">
        <v>1.34</v>
      </c>
      <c r="J60" s="162">
        <v>16.920000000000002</v>
      </c>
      <c r="K60" s="162">
        <v>14.7</v>
      </c>
      <c r="L60" s="162">
        <v>15.8</v>
      </c>
      <c r="M60" s="162">
        <v>16</v>
      </c>
    </row>
    <row r="61" spans="1:13" x14ac:dyDescent="0.3">
      <c r="A61" s="162">
        <v>60</v>
      </c>
      <c r="B61" t="s">
        <v>80</v>
      </c>
      <c r="C61" s="162">
        <v>40</v>
      </c>
      <c r="D61" s="162"/>
      <c r="E61" s="162"/>
      <c r="F61" s="162">
        <v>3</v>
      </c>
      <c r="G61" s="162">
        <v>0</v>
      </c>
      <c r="H61" s="162">
        <v>0.76</v>
      </c>
      <c r="I61" s="162">
        <v>0.68</v>
      </c>
      <c r="J61" s="162">
        <v>4.41</v>
      </c>
      <c r="K61" s="162">
        <v>9.1</v>
      </c>
      <c r="L61" s="162">
        <v>23.7</v>
      </c>
      <c r="M61" s="162">
        <v>15</v>
      </c>
    </row>
    <row r="62" spans="1:13" x14ac:dyDescent="0.3">
      <c r="A62" s="162">
        <v>61</v>
      </c>
      <c r="B62" t="s">
        <v>81</v>
      </c>
      <c r="C62" s="162">
        <v>392</v>
      </c>
      <c r="D62" s="162">
        <v>4</v>
      </c>
      <c r="E62" s="162">
        <v>4</v>
      </c>
      <c r="F62" s="162">
        <v>3</v>
      </c>
      <c r="G62" s="162">
        <v>1</v>
      </c>
      <c r="H62" s="162">
        <v>2.0310000000000001</v>
      </c>
      <c r="I62" s="162">
        <v>1.1299999999999999</v>
      </c>
      <c r="J62" s="162">
        <v>10.19</v>
      </c>
      <c r="K62" s="162">
        <v>13.6</v>
      </c>
      <c r="L62" s="162">
        <v>3.6</v>
      </c>
      <c r="M62" s="162">
        <v>8</v>
      </c>
    </row>
    <row r="63" spans="1:13" x14ac:dyDescent="0.3">
      <c r="A63" s="162">
        <v>62</v>
      </c>
      <c r="B63" t="s">
        <v>82</v>
      </c>
      <c r="C63" s="162">
        <v>284</v>
      </c>
      <c r="D63" s="162">
        <v>5</v>
      </c>
      <c r="E63" s="162">
        <v>5</v>
      </c>
      <c r="F63" s="162">
        <v>3</v>
      </c>
      <c r="G63" s="162">
        <v>1</v>
      </c>
      <c r="H63" s="162">
        <v>0.63300000000000001</v>
      </c>
      <c r="I63" s="162">
        <v>1.04</v>
      </c>
      <c r="J63" s="162">
        <v>8.7200000000000006</v>
      </c>
      <c r="K63" s="162">
        <v>16.5</v>
      </c>
      <c r="L63" s="162">
        <v>17.399999999999999</v>
      </c>
      <c r="M63" s="162">
        <v>9</v>
      </c>
    </row>
    <row r="64" spans="1:13" x14ac:dyDescent="0.3">
      <c r="A64" s="162">
        <v>63</v>
      </c>
      <c r="B64" t="s">
        <v>83</v>
      </c>
      <c r="C64" s="162">
        <v>354</v>
      </c>
      <c r="D64" s="162"/>
      <c r="E64" s="162"/>
      <c r="F64" s="162">
        <v>3</v>
      </c>
      <c r="G64" s="162">
        <v>0</v>
      </c>
      <c r="H64" s="162">
        <v>4.5179999999999998</v>
      </c>
      <c r="I64" s="162">
        <v>1.37</v>
      </c>
      <c r="J64" s="162">
        <v>24.9</v>
      </c>
      <c r="K64" s="162">
        <v>13.9</v>
      </c>
      <c r="L64" s="162">
        <v>9.3000000000000007</v>
      </c>
      <c r="M64" s="162">
        <v>7</v>
      </c>
    </row>
    <row r="65" spans="1:13" x14ac:dyDescent="0.3">
      <c r="A65" s="162">
        <v>64</v>
      </c>
      <c r="B65" t="s">
        <v>84</v>
      </c>
      <c r="C65" s="162">
        <v>52</v>
      </c>
      <c r="D65" s="162">
        <v>3</v>
      </c>
      <c r="E65" s="162">
        <v>3</v>
      </c>
      <c r="F65" s="162">
        <v>3</v>
      </c>
      <c r="G65" s="162">
        <v>1</v>
      </c>
      <c r="H65" s="162">
        <v>0.83699999999999997</v>
      </c>
      <c r="I65" s="162">
        <v>0.46</v>
      </c>
      <c r="J65" s="162">
        <v>17.91</v>
      </c>
      <c r="K65" s="162">
        <v>15</v>
      </c>
      <c r="L65" s="162">
        <v>0</v>
      </c>
      <c r="M65" s="162">
        <v>7.5</v>
      </c>
    </row>
    <row r="66" spans="1:13" x14ac:dyDescent="0.3">
      <c r="A66" s="162">
        <v>65</v>
      </c>
      <c r="B66" t="s">
        <v>85</v>
      </c>
      <c r="C66" s="162">
        <v>154</v>
      </c>
      <c r="D66" s="162"/>
      <c r="E66" s="162"/>
      <c r="F66" s="162">
        <v>3</v>
      </c>
      <c r="G66" s="162">
        <v>0</v>
      </c>
      <c r="H66" s="162">
        <v>0.623</v>
      </c>
      <c r="I66" s="162">
        <v>0.83</v>
      </c>
      <c r="J66" s="162">
        <v>18.93</v>
      </c>
      <c r="K66" s="162">
        <v>15.5</v>
      </c>
      <c r="L66" s="162">
        <v>15.1</v>
      </c>
      <c r="M66" s="162">
        <v>10</v>
      </c>
    </row>
    <row r="67" spans="1:13" x14ac:dyDescent="0.3">
      <c r="A67" s="162">
        <v>66</v>
      </c>
      <c r="B67" t="s">
        <v>86</v>
      </c>
      <c r="C67" s="162">
        <v>112</v>
      </c>
      <c r="D67" s="162"/>
      <c r="E67" s="162"/>
      <c r="F67" s="162">
        <v>3</v>
      </c>
      <c r="G67" s="162">
        <v>0</v>
      </c>
      <c r="H67" s="162">
        <v>0.63800000000000001</v>
      </c>
      <c r="I67" s="162">
        <v>0.62</v>
      </c>
      <c r="J67" s="162">
        <v>7.67</v>
      </c>
      <c r="K67" s="162">
        <v>14.3</v>
      </c>
      <c r="L67" s="162">
        <v>26</v>
      </c>
      <c r="M67" s="162">
        <v>16.5</v>
      </c>
    </row>
    <row r="68" spans="1:13" x14ac:dyDescent="0.3">
      <c r="A68" s="162">
        <v>67</v>
      </c>
      <c r="B68" t="s">
        <v>87</v>
      </c>
      <c r="C68" s="162">
        <v>495</v>
      </c>
      <c r="D68" s="162">
        <v>5</v>
      </c>
      <c r="E68" s="162">
        <v>5</v>
      </c>
      <c r="F68" s="162">
        <v>3</v>
      </c>
      <c r="G68" s="162">
        <v>1</v>
      </c>
      <c r="H68" s="162">
        <v>3.98</v>
      </c>
      <c r="I68" s="162">
        <v>1.55</v>
      </c>
      <c r="J68" s="162">
        <v>21.59</v>
      </c>
      <c r="K68" s="162">
        <v>14</v>
      </c>
      <c r="L68" s="162">
        <v>14.4</v>
      </c>
      <c r="M68" s="162">
        <v>13</v>
      </c>
    </row>
    <row r="69" spans="1:13" x14ac:dyDescent="0.3">
      <c r="A69" s="162">
        <v>68</v>
      </c>
      <c r="B69" t="s">
        <v>88</v>
      </c>
      <c r="C69" s="162">
        <v>127</v>
      </c>
      <c r="D69" s="162">
        <v>5</v>
      </c>
      <c r="E69" s="162">
        <v>5</v>
      </c>
      <c r="F69" s="162">
        <v>3</v>
      </c>
      <c r="G69" s="162">
        <v>1</v>
      </c>
      <c r="H69" s="162">
        <v>0.74299999999999999</v>
      </c>
      <c r="I69" s="162">
        <v>0.68</v>
      </c>
      <c r="J69" s="162">
        <v>11.14</v>
      </c>
      <c r="K69" s="162">
        <v>18</v>
      </c>
      <c r="L69" s="162">
        <v>14.3</v>
      </c>
      <c r="M69" s="162">
        <v>10</v>
      </c>
    </row>
    <row r="70" spans="1:13" x14ac:dyDescent="0.3">
      <c r="A70" s="162">
        <v>69</v>
      </c>
      <c r="B70" t="s">
        <v>89</v>
      </c>
      <c r="C70" s="162">
        <v>47</v>
      </c>
      <c r="D70" s="162">
        <v>4</v>
      </c>
      <c r="E70" s="162">
        <v>3</v>
      </c>
      <c r="F70" s="162">
        <v>3</v>
      </c>
      <c r="G70" s="162">
        <v>1</v>
      </c>
      <c r="H70" s="162">
        <v>1.5369999999999999</v>
      </c>
      <c r="I70" s="162">
        <v>0.63</v>
      </c>
      <c r="J70" s="162">
        <v>5.08</v>
      </c>
      <c r="K70" s="162">
        <v>8.6999999999999993</v>
      </c>
      <c r="L70" s="162">
        <v>14.7</v>
      </c>
      <c r="M70" s="162">
        <v>10</v>
      </c>
    </row>
    <row r="71" spans="1:13" x14ac:dyDescent="0.3">
      <c r="A71" s="162">
        <v>70</v>
      </c>
      <c r="B71" t="s">
        <v>90</v>
      </c>
      <c r="C71" s="162">
        <v>141</v>
      </c>
      <c r="D71" s="162">
        <v>3</v>
      </c>
      <c r="E71" s="162">
        <v>3</v>
      </c>
      <c r="F71" s="162">
        <v>3</v>
      </c>
      <c r="G71" s="162">
        <v>1</v>
      </c>
      <c r="H71" s="162">
        <v>1.621</v>
      </c>
      <c r="I71" s="162">
        <v>0.69</v>
      </c>
      <c r="J71" s="162">
        <v>12.06</v>
      </c>
      <c r="K71" s="162">
        <v>3.8</v>
      </c>
      <c r="L71" s="162">
        <v>11.1</v>
      </c>
      <c r="M71" s="162">
        <v>8</v>
      </c>
    </row>
    <row r="72" spans="1:13" x14ac:dyDescent="0.3">
      <c r="A72" s="162">
        <v>71</v>
      </c>
      <c r="B72" t="s">
        <v>91</v>
      </c>
      <c r="C72" s="162">
        <v>48</v>
      </c>
      <c r="D72" s="162"/>
      <c r="E72" s="162"/>
      <c r="F72" s="162">
        <v>3</v>
      </c>
      <c r="G72" s="162">
        <v>0</v>
      </c>
      <c r="H72" s="162">
        <v>1.365</v>
      </c>
      <c r="I72" s="162">
        <v>1.1200000000000001</v>
      </c>
      <c r="J72" s="162">
        <v>2.27</v>
      </c>
      <c r="K72" s="162">
        <v>16.7</v>
      </c>
      <c r="L72" s="162">
        <v>17.2</v>
      </c>
      <c r="M72" s="162">
        <v>20.5</v>
      </c>
    </row>
    <row r="73" spans="1:13" x14ac:dyDescent="0.3">
      <c r="A73" s="162">
        <v>72</v>
      </c>
      <c r="B73" t="s">
        <v>92</v>
      </c>
      <c r="C73" s="162">
        <v>276</v>
      </c>
      <c r="D73" s="162"/>
      <c r="E73" s="162"/>
      <c r="F73" s="162">
        <v>2</v>
      </c>
      <c r="G73" s="162">
        <v>0</v>
      </c>
      <c r="H73" s="162">
        <v>0.995</v>
      </c>
      <c r="I73" s="162">
        <v>1.19</v>
      </c>
      <c r="J73" s="162">
        <v>16.75</v>
      </c>
      <c r="K73" s="162">
        <v>14.7</v>
      </c>
      <c r="L73" s="162">
        <v>11.7</v>
      </c>
      <c r="M73" s="162">
        <v>8</v>
      </c>
    </row>
    <row r="74" spans="1:13" x14ac:dyDescent="0.3">
      <c r="A74" s="162">
        <v>73</v>
      </c>
      <c r="B74" t="s">
        <v>93</v>
      </c>
      <c r="C74" s="162">
        <v>84</v>
      </c>
      <c r="D74" s="162">
        <v>3</v>
      </c>
      <c r="E74" s="162">
        <v>3</v>
      </c>
      <c r="F74" s="162">
        <v>2</v>
      </c>
      <c r="G74" s="162">
        <v>1</v>
      </c>
      <c r="H74" s="162">
        <v>0.56200000000000006</v>
      </c>
      <c r="I74" s="162">
        <v>0.44</v>
      </c>
      <c r="J74" s="162">
        <v>19.809999999999999</v>
      </c>
      <c r="K74" s="162">
        <v>12.5</v>
      </c>
      <c r="L74" s="162">
        <v>15.6</v>
      </c>
      <c r="M74" s="162">
        <v>9</v>
      </c>
    </row>
    <row r="75" spans="1:13" x14ac:dyDescent="0.3">
      <c r="A75" s="162">
        <v>74</v>
      </c>
      <c r="B75" t="s">
        <v>94</v>
      </c>
      <c r="C75" s="162">
        <v>3</v>
      </c>
      <c r="D75" s="162">
        <v>3</v>
      </c>
      <c r="E75" s="162">
        <v>4</v>
      </c>
      <c r="F75" s="162">
        <v>2</v>
      </c>
      <c r="G75" s="162">
        <v>1</v>
      </c>
      <c r="H75" s="162"/>
      <c r="I75" s="162"/>
      <c r="J75" s="162">
        <v>0</v>
      </c>
      <c r="K75" s="162"/>
      <c r="L75" s="162">
        <v>10</v>
      </c>
      <c r="M75" s="162"/>
    </row>
    <row r="76" spans="1:13" x14ac:dyDescent="0.3">
      <c r="A76" s="162">
        <v>75</v>
      </c>
      <c r="B76" t="s">
        <v>95</v>
      </c>
      <c r="C76" s="162">
        <v>142</v>
      </c>
      <c r="D76" s="162">
        <v>4</v>
      </c>
      <c r="E76" s="162">
        <v>4</v>
      </c>
      <c r="F76" s="162">
        <v>2</v>
      </c>
      <c r="G76" s="162">
        <v>1</v>
      </c>
      <c r="H76" s="162">
        <v>1.23</v>
      </c>
      <c r="I76" s="162">
        <v>0.65</v>
      </c>
      <c r="J76" s="162">
        <v>17.05</v>
      </c>
      <c r="K76" s="162">
        <v>16.3</v>
      </c>
      <c r="L76" s="162">
        <v>25.2</v>
      </c>
      <c r="M76" s="162">
        <v>10.5</v>
      </c>
    </row>
    <row r="77" spans="1:13" x14ac:dyDescent="0.3">
      <c r="A77" s="162">
        <v>76</v>
      </c>
      <c r="B77" t="s">
        <v>96</v>
      </c>
      <c r="C77" s="162">
        <v>84</v>
      </c>
      <c r="D77" s="162">
        <v>4</v>
      </c>
      <c r="E77" s="162">
        <v>4</v>
      </c>
      <c r="F77" s="162">
        <v>2</v>
      </c>
      <c r="G77" s="162">
        <v>1</v>
      </c>
      <c r="H77" s="162">
        <v>0.95399999999999996</v>
      </c>
      <c r="I77" s="162">
        <v>0.7</v>
      </c>
      <c r="J77" s="162">
        <v>16.29</v>
      </c>
      <c r="K77" s="162">
        <v>7.7</v>
      </c>
      <c r="L77" s="162">
        <v>16.899999999999999</v>
      </c>
      <c r="M77" s="162">
        <v>9</v>
      </c>
    </row>
    <row r="78" spans="1:13" x14ac:dyDescent="0.3">
      <c r="A78" s="162">
        <v>77</v>
      </c>
      <c r="B78" t="s">
        <v>97</v>
      </c>
      <c r="C78" s="162">
        <v>356</v>
      </c>
      <c r="D78" s="162"/>
      <c r="E78" s="162"/>
      <c r="F78" s="162">
        <v>2</v>
      </c>
      <c r="G78" s="162">
        <v>0</v>
      </c>
      <c r="H78" s="162">
        <v>2.78</v>
      </c>
      <c r="I78" s="162">
        <v>1.56</v>
      </c>
      <c r="J78" s="162">
        <v>18.399999999999999</v>
      </c>
      <c r="K78" s="162">
        <v>17.399999999999999</v>
      </c>
      <c r="L78" s="162">
        <v>13.2</v>
      </c>
      <c r="M78" s="162">
        <v>14</v>
      </c>
    </row>
    <row r="79" spans="1:13" x14ac:dyDescent="0.3">
      <c r="A79" s="162">
        <v>78</v>
      </c>
      <c r="B79" t="s">
        <v>98</v>
      </c>
      <c r="C79" s="162">
        <v>77</v>
      </c>
      <c r="D79" s="162">
        <v>4</v>
      </c>
      <c r="E79" s="162">
        <v>3</v>
      </c>
      <c r="F79" s="162">
        <v>2</v>
      </c>
      <c r="G79" s="162">
        <v>1</v>
      </c>
      <c r="H79" s="162">
        <v>0.96399999999999997</v>
      </c>
      <c r="I79" s="162">
        <v>1.17</v>
      </c>
      <c r="J79" s="162">
        <v>9.23</v>
      </c>
      <c r="K79" s="162">
        <v>21.2</v>
      </c>
      <c r="L79" s="162">
        <v>13.2</v>
      </c>
      <c r="M79" s="162">
        <v>13</v>
      </c>
    </row>
    <row r="80" spans="1:13" x14ac:dyDescent="0.3">
      <c r="A80" s="162">
        <v>79</v>
      </c>
      <c r="B80" t="s">
        <v>99</v>
      </c>
      <c r="C80" s="162">
        <v>169</v>
      </c>
      <c r="D80" s="162">
        <v>4</v>
      </c>
      <c r="E80" s="162">
        <v>4</v>
      </c>
      <c r="F80" s="162">
        <v>2</v>
      </c>
      <c r="G80" s="162">
        <v>1</v>
      </c>
      <c r="H80" s="162">
        <v>1.101</v>
      </c>
      <c r="I80" s="162">
        <v>1.59</v>
      </c>
      <c r="J80" s="162">
        <v>10.25</v>
      </c>
      <c r="K80" s="162">
        <v>8.3000000000000007</v>
      </c>
      <c r="L80" s="162">
        <v>9.4</v>
      </c>
      <c r="M80" s="162">
        <v>6</v>
      </c>
    </row>
    <row r="81" spans="1:13" x14ac:dyDescent="0.3">
      <c r="A81" s="162">
        <v>80</v>
      </c>
      <c r="B81" t="s">
        <v>100</v>
      </c>
      <c r="C81" s="162">
        <v>216</v>
      </c>
      <c r="D81" s="162">
        <v>4</v>
      </c>
      <c r="E81" s="162">
        <v>4</v>
      </c>
      <c r="F81" s="162">
        <v>2</v>
      </c>
      <c r="G81" s="162">
        <v>1</v>
      </c>
      <c r="H81" s="162"/>
      <c r="I81" s="162">
        <v>1.25</v>
      </c>
      <c r="J81" s="162">
        <v>19.52</v>
      </c>
      <c r="K81" s="162">
        <v>16.100000000000001</v>
      </c>
      <c r="L81" s="162">
        <v>17.5</v>
      </c>
      <c r="M81" s="162">
        <v>8</v>
      </c>
    </row>
    <row r="82" spans="1:13" x14ac:dyDescent="0.3">
      <c r="A82" s="162">
        <v>81</v>
      </c>
      <c r="B82" t="s">
        <v>101</v>
      </c>
      <c r="C82" s="162">
        <v>25</v>
      </c>
      <c r="D82" s="162">
        <v>5</v>
      </c>
      <c r="E82" s="162">
        <v>4</v>
      </c>
      <c r="F82" s="162">
        <v>2</v>
      </c>
      <c r="G82" s="162">
        <v>1</v>
      </c>
      <c r="H82" s="162">
        <v>0.97699999999999998</v>
      </c>
      <c r="I82" s="162">
        <v>0.24</v>
      </c>
      <c r="J82" s="162">
        <v>18.52</v>
      </c>
      <c r="K82" s="162">
        <v>0</v>
      </c>
      <c r="L82" s="162">
        <v>0</v>
      </c>
      <c r="M82" s="162">
        <v>27</v>
      </c>
    </row>
    <row r="83" spans="1:13" x14ac:dyDescent="0.3">
      <c r="A83" s="162">
        <v>82</v>
      </c>
      <c r="B83" t="s">
        <v>102</v>
      </c>
      <c r="C83" s="162">
        <v>25</v>
      </c>
      <c r="D83" s="162"/>
      <c r="E83" s="162"/>
      <c r="F83" s="162">
        <v>2</v>
      </c>
      <c r="G83" s="162">
        <v>0</v>
      </c>
      <c r="H83" s="162">
        <v>1.139</v>
      </c>
      <c r="I83" s="162">
        <v>1.61</v>
      </c>
      <c r="J83" s="162">
        <v>21.28</v>
      </c>
      <c r="K83" s="162">
        <v>13.8</v>
      </c>
      <c r="L83" s="162">
        <v>22.2</v>
      </c>
      <c r="M83" s="162">
        <v>14</v>
      </c>
    </row>
    <row r="84" spans="1:13" x14ac:dyDescent="0.3">
      <c r="A84" s="162">
        <v>83</v>
      </c>
      <c r="B84" t="s">
        <v>103</v>
      </c>
      <c r="C84" s="162">
        <v>358</v>
      </c>
      <c r="D84" s="162">
        <v>4</v>
      </c>
      <c r="E84" s="162">
        <v>4</v>
      </c>
      <c r="F84" s="162">
        <v>2</v>
      </c>
      <c r="G84" s="162">
        <v>1</v>
      </c>
      <c r="H84" s="162">
        <v>1.246</v>
      </c>
      <c r="I84" s="162">
        <v>1.19</v>
      </c>
      <c r="J84" s="162">
        <v>14.21</v>
      </c>
      <c r="K84" s="162">
        <v>8.4</v>
      </c>
      <c r="L84" s="162">
        <v>12.6</v>
      </c>
      <c r="M84" s="162">
        <v>7</v>
      </c>
    </row>
    <row r="85" spans="1:13" x14ac:dyDescent="0.3">
      <c r="A85" s="162">
        <v>84</v>
      </c>
      <c r="B85" t="s">
        <v>104</v>
      </c>
      <c r="C85" s="162">
        <v>267</v>
      </c>
      <c r="D85" s="162">
        <v>4</v>
      </c>
      <c r="E85" s="162">
        <v>4</v>
      </c>
      <c r="F85" s="162">
        <v>2</v>
      </c>
      <c r="G85" s="162">
        <v>1</v>
      </c>
      <c r="H85" s="162">
        <v>1.633</v>
      </c>
      <c r="I85" s="162">
        <v>0.68</v>
      </c>
      <c r="J85" s="162">
        <v>8.7899999999999991</v>
      </c>
      <c r="K85" s="162">
        <v>15.8</v>
      </c>
      <c r="L85" s="162">
        <v>11.5</v>
      </c>
      <c r="M85" s="162">
        <v>12</v>
      </c>
    </row>
    <row r="86" spans="1:13" x14ac:dyDescent="0.3">
      <c r="A86" s="162">
        <v>85</v>
      </c>
      <c r="B86" t="s">
        <v>105</v>
      </c>
      <c r="C86" s="162">
        <v>212</v>
      </c>
      <c r="D86" s="162">
        <v>3</v>
      </c>
      <c r="E86" s="162">
        <v>3</v>
      </c>
      <c r="F86" s="162">
        <v>2</v>
      </c>
      <c r="G86" s="162">
        <v>1</v>
      </c>
      <c r="H86" s="162">
        <v>1.7030000000000001</v>
      </c>
      <c r="I86" s="162">
        <v>1.51</v>
      </c>
      <c r="J86" s="162">
        <v>17.420000000000002</v>
      </c>
      <c r="K86" s="162">
        <v>15.2</v>
      </c>
      <c r="L86" s="162">
        <v>7.7</v>
      </c>
      <c r="M86" s="162">
        <v>7</v>
      </c>
    </row>
    <row r="87" spans="1:13" x14ac:dyDescent="0.3">
      <c r="A87" s="162">
        <v>86</v>
      </c>
      <c r="B87" t="s">
        <v>106</v>
      </c>
      <c r="C87" s="162">
        <v>249</v>
      </c>
      <c r="D87" s="162">
        <v>3</v>
      </c>
      <c r="E87" s="162">
        <v>4</v>
      </c>
      <c r="F87" s="162">
        <v>2</v>
      </c>
      <c r="G87" s="162">
        <v>1</v>
      </c>
      <c r="H87" s="162">
        <v>1.01</v>
      </c>
      <c r="I87" s="162">
        <v>1.18</v>
      </c>
      <c r="J87" s="162">
        <v>12.62</v>
      </c>
      <c r="K87" s="162">
        <v>13.2</v>
      </c>
      <c r="L87" s="162">
        <v>17.2</v>
      </c>
      <c r="M87" s="162">
        <v>12</v>
      </c>
    </row>
    <row r="88" spans="1:13" x14ac:dyDescent="0.3">
      <c r="A88" s="162">
        <v>87</v>
      </c>
      <c r="B88" t="s">
        <v>107</v>
      </c>
      <c r="C88" s="162">
        <v>121</v>
      </c>
      <c r="D88" s="162"/>
      <c r="E88" s="162"/>
      <c r="F88" s="162">
        <v>2</v>
      </c>
      <c r="G88" s="162">
        <v>0</v>
      </c>
      <c r="H88" s="162"/>
      <c r="I88" s="162">
        <v>0.46</v>
      </c>
      <c r="J88" s="162">
        <v>7.58</v>
      </c>
      <c r="K88" s="162">
        <v>20.9</v>
      </c>
      <c r="L88" s="162">
        <v>13</v>
      </c>
      <c r="M88" s="162">
        <v>15</v>
      </c>
    </row>
    <row r="89" spans="1:13" x14ac:dyDescent="0.3">
      <c r="A89" s="162">
        <v>88</v>
      </c>
      <c r="B89" t="s">
        <v>108</v>
      </c>
      <c r="C89" s="162">
        <v>193</v>
      </c>
      <c r="D89" s="162"/>
      <c r="E89" s="162"/>
      <c r="F89" s="162">
        <v>2</v>
      </c>
      <c r="G89" s="162">
        <v>0</v>
      </c>
      <c r="H89" s="162">
        <v>1.4119999999999999</v>
      </c>
      <c r="I89" s="162">
        <v>0.65</v>
      </c>
      <c r="J89" s="162">
        <v>6.91</v>
      </c>
      <c r="K89" s="162">
        <v>15.9</v>
      </c>
      <c r="L89" s="162">
        <v>16.7</v>
      </c>
      <c r="M89" s="162">
        <v>10</v>
      </c>
    </row>
    <row r="90" spans="1:13" x14ac:dyDescent="0.3">
      <c r="A90" s="162">
        <v>89</v>
      </c>
      <c r="B90" t="s">
        <v>109</v>
      </c>
      <c r="C90" s="162">
        <v>159</v>
      </c>
      <c r="D90" s="162"/>
      <c r="E90" s="162"/>
      <c r="F90" s="162">
        <v>2</v>
      </c>
      <c r="G90" s="162">
        <v>0</v>
      </c>
      <c r="H90" s="162">
        <v>1.7490000000000001</v>
      </c>
      <c r="I90" s="162">
        <v>0.57999999999999996</v>
      </c>
      <c r="J90" s="162">
        <v>49.86</v>
      </c>
      <c r="K90" s="162">
        <v>11.2</v>
      </c>
      <c r="L90" s="162">
        <v>44.9</v>
      </c>
      <c r="M90" s="162">
        <v>20</v>
      </c>
    </row>
    <row r="91" spans="1:13" x14ac:dyDescent="0.3">
      <c r="A91" s="162">
        <v>90</v>
      </c>
      <c r="B91" t="s">
        <v>110</v>
      </c>
      <c r="C91" s="162">
        <v>115</v>
      </c>
      <c r="D91" s="162">
        <v>5</v>
      </c>
      <c r="E91" s="162">
        <v>5</v>
      </c>
      <c r="F91" s="162">
        <v>2</v>
      </c>
      <c r="G91" s="162">
        <v>1</v>
      </c>
      <c r="H91" s="162">
        <v>2.532</v>
      </c>
      <c r="I91" s="162">
        <v>0.47</v>
      </c>
      <c r="J91" s="162">
        <v>9.77</v>
      </c>
      <c r="K91" s="162">
        <v>15.6</v>
      </c>
      <c r="L91" s="162">
        <v>9</v>
      </c>
      <c r="M91" s="162">
        <v>11</v>
      </c>
    </row>
    <row r="92" spans="1:13" x14ac:dyDescent="0.3">
      <c r="A92" s="162">
        <v>91</v>
      </c>
      <c r="B92" t="s">
        <v>111</v>
      </c>
      <c r="C92" s="162">
        <v>101</v>
      </c>
      <c r="D92" s="162">
        <v>3</v>
      </c>
      <c r="E92" s="162">
        <v>3</v>
      </c>
      <c r="F92" s="162">
        <v>2</v>
      </c>
      <c r="G92" s="162">
        <v>1</v>
      </c>
      <c r="H92" s="162">
        <v>0.93799999999999994</v>
      </c>
      <c r="I92" s="162">
        <v>1</v>
      </c>
      <c r="J92" s="162">
        <v>19.93</v>
      </c>
      <c r="K92" s="162">
        <v>7.5</v>
      </c>
      <c r="L92" s="162">
        <v>6.2</v>
      </c>
      <c r="M92" s="162">
        <v>6</v>
      </c>
    </row>
    <row r="93" spans="1:13" x14ac:dyDescent="0.3">
      <c r="A93" s="162">
        <v>92</v>
      </c>
      <c r="B93" t="s">
        <v>112</v>
      </c>
      <c r="C93" s="162">
        <v>267</v>
      </c>
      <c r="D93" s="162"/>
      <c r="E93" s="162"/>
      <c r="F93" s="162">
        <v>2</v>
      </c>
      <c r="G93" s="162">
        <v>0</v>
      </c>
      <c r="H93" s="162">
        <v>0.89700000000000002</v>
      </c>
      <c r="I93" s="162">
        <v>1.1200000000000001</v>
      </c>
      <c r="J93" s="162">
        <v>18.38</v>
      </c>
      <c r="K93" s="162">
        <v>8.1999999999999993</v>
      </c>
      <c r="L93" s="162">
        <v>15.6</v>
      </c>
      <c r="M93" s="162">
        <v>15</v>
      </c>
    </row>
    <row r="94" spans="1:13" x14ac:dyDescent="0.3">
      <c r="A94" s="162">
        <v>93</v>
      </c>
      <c r="B94" t="s">
        <v>113</v>
      </c>
      <c r="C94" s="162">
        <v>66</v>
      </c>
      <c r="D94" s="162"/>
      <c r="E94" s="162"/>
      <c r="F94" s="162">
        <v>2</v>
      </c>
      <c r="G94" s="162">
        <v>0</v>
      </c>
      <c r="H94" s="162">
        <v>0.82699999999999996</v>
      </c>
      <c r="I94" s="162">
        <v>0.76</v>
      </c>
      <c r="J94" s="162">
        <v>10</v>
      </c>
      <c r="K94" s="162">
        <v>16.7</v>
      </c>
      <c r="L94" s="162">
        <v>25.5</v>
      </c>
      <c r="M94" s="162">
        <v>12</v>
      </c>
    </row>
    <row r="95" spans="1:13" x14ac:dyDescent="0.3">
      <c r="A95" s="162">
        <v>94</v>
      </c>
      <c r="B95" t="s">
        <v>114</v>
      </c>
      <c r="C95" s="162">
        <v>49</v>
      </c>
      <c r="D95" s="162"/>
      <c r="E95" s="162"/>
      <c r="F95" s="162">
        <v>2</v>
      </c>
      <c r="G95" s="162">
        <v>0</v>
      </c>
      <c r="H95" s="162"/>
      <c r="I95" s="162">
        <v>0.85</v>
      </c>
      <c r="J95" s="162">
        <v>20.55</v>
      </c>
      <c r="K95" s="162">
        <v>10.3</v>
      </c>
      <c r="L95" s="162">
        <v>12.1</v>
      </c>
      <c r="M95" s="162">
        <v>9</v>
      </c>
    </row>
    <row r="96" spans="1:13" x14ac:dyDescent="0.3">
      <c r="A96" s="162">
        <v>95</v>
      </c>
      <c r="B96" t="s">
        <v>115</v>
      </c>
      <c r="C96" s="162">
        <v>311</v>
      </c>
      <c r="D96" s="162">
        <v>5</v>
      </c>
      <c r="E96" s="162">
        <v>5</v>
      </c>
      <c r="F96" s="162">
        <v>2</v>
      </c>
      <c r="G96" s="162">
        <v>1</v>
      </c>
      <c r="H96" s="162"/>
      <c r="I96" s="162">
        <v>1.24</v>
      </c>
      <c r="J96" s="162">
        <v>9.01</v>
      </c>
      <c r="K96" s="162">
        <v>10.4</v>
      </c>
      <c r="L96" s="162">
        <v>10.5</v>
      </c>
      <c r="M96" s="162">
        <v>8</v>
      </c>
    </row>
    <row r="97" spans="1:13" x14ac:dyDescent="0.3">
      <c r="A97" s="162">
        <v>96</v>
      </c>
      <c r="B97" t="s">
        <v>116</v>
      </c>
      <c r="C97" s="162">
        <v>234</v>
      </c>
      <c r="D97" s="162">
        <v>5</v>
      </c>
      <c r="E97" s="162">
        <v>5</v>
      </c>
      <c r="F97" s="162">
        <v>2</v>
      </c>
      <c r="G97" s="162">
        <v>1</v>
      </c>
      <c r="H97" s="162">
        <v>0.89</v>
      </c>
      <c r="I97" s="162">
        <v>0.76</v>
      </c>
      <c r="J97" s="162">
        <v>4.75</v>
      </c>
      <c r="K97" s="162">
        <v>16.8</v>
      </c>
      <c r="L97" s="162">
        <v>5.7</v>
      </c>
      <c r="M97" s="162">
        <v>15</v>
      </c>
    </row>
    <row r="98" spans="1:13" x14ac:dyDescent="0.3">
      <c r="A98" s="162">
        <v>97</v>
      </c>
      <c r="B98" t="s">
        <v>117</v>
      </c>
      <c r="C98" s="162">
        <v>13</v>
      </c>
      <c r="D98" s="162">
        <v>3</v>
      </c>
      <c r="E98" s="162">
        <v>3</v>
      </c>
      <c r="F98" s="162">
        <v>2</v>
      </c>
      <c r="G98" s="162">
        <v>1</v>
      </c>
      <c r="H98" s="162">
        <v>1.002</v>
      </c>
      <c r="I98" s="162">
        <v>0.35</v>
      </c>
      <c r="J98" s="162">
        <v>20.079999999999998</v>
      </c>
      <c r="K98" s="162">
        <v>33.299999999999997</v>
      </c>
      <c r="L98" s="162">
        <v>7.7</v>
      </c>
      <c r="M98" s="162">
        <v>3</v>
      </c>
    </row>
    <row r="99" spans="1:13" x14ac:dyDescent="0.3">
      <c r="A99" s="162">
        <v>98</v>
      </c>
      <c r="B99" t="s">
        <v>118</v>
      </c>
      <c r="C99" s="162">
        <v>283</v>
      </c>
      <c r="D99" s="162">
        <v>4</v>
      </c>
      <c r="E99" s="162">
        <v>4</v>
      </c>
      <c r="F99" s="162">
        <v>2</v>
      </c>
      <c r="G99" s="162">
        <v>1</v>
      </c>
      <c r="H99" s="162"/>
      <c r="I99" s="162">
        <v>1.17</v>
      </c>
      <c r="J99" s="162">
        <v>13.58</v>
      </c>
      <c r="K99" s="162">
        <v>12.7</v>
      </c>
      <c r="L99" s="162">
        <v>16.8</v>
      </c>
      <c r="M99" s="162">
        <v>8</v>
      </c>
    </row>
    <row r="100" spans="1:13" x14ac:dyDescent="0.3">
      <c r="A100" s="162">
        <v>99</v>
      </c>
      <c r="B100" t="s">
        <v>119</v>
      </c>
      <c r="C100" s="162">
        <v>8</v>
      </c>
      <c r="D100" s="162">
        <v>3</v>
      </c>
      <c r="E100" s="162">
        <v>3</v>
      </c>
      <c r="F100" s="162">
        <v>2</v>
      </c>
      <c r="G100" s="162">
        <v>1</v>
      </c>
      <c r="H100" s="162"/>
      <c r="I100" s="162"/>
      <c r="J100" s="162"/>
      <c r="K100" s="162"/>
      <c r="L100" s="162">
        <v>1</v>
      </c>
      <c r="M100" s="162"/>
    </row>
    <row r="101" spans="1:13" x14ac:dyDescent="0.3">
      <c r="A101" s="162">
        <v>100</v>
      </c>
      <c r="B101" t="s">
        <v>120</v>
      </c>
      <c r="C101" s="162">
        <v>118</v>
      </c>
      <c r="D101" s="162">
        <v>5</v>
      </c>
      <c r="E101" s="162">
        <v>5</v>
      </c>
      <c r="F101" s="162">
        <v>1</v>
      </c>
      <c r="G101" s="162">
        <v>1</v>
      </c>
      <c r="H101" s="162">
        <v>1.0660000000000001</v>
      </c>
      <c r="I101" s="162">
        <v>0.48</v>
      </c>
      <c r="J101" s="162">
        <v>17.63</v>
      </c>
      <c r="K101" s="162">
        <v>17.399999999999999</v>
      </c>
      <c r="L101" s="162">
        <v>20</v>
      </c>
      <c r="M101" s="162">
        <v>9</v>
      </c>
    </row>
    <row r="102" spans="1:13" x14ac:dyDescent="0.3">
      <c r="A102" s="162">
        <v>101</v>
      </c>
      <c r="B102" t="s">
        <v>121</v>
      </c>
      <c r="C102" s="162">
        <v>427</v>
      </c>
      <c r="D102" s="162"/>
      <c r="E102" s="162"/>
      <c r="F102" s="162">
        <v>1</v>
      </c>
      <c r="G102" s="162">
        <v>0</v>
      </c>
      <c r="H102" s="162"/>
      <c r="I102" s="162">
        <v>1.1399999999999999</v>
      </c>
      <c r="J102" s="162">
        <v>9.69</v>
      </c>
      <c r="K102" s="162">
        <v>9.9</v>
      </c>
      <c r="L102" s="162">
        <v>11.1</v>
      </c>
      <c r="M102" s="162">
        <v>11</v>
      </c>
    </row>
    <row r="103" spans="1:13" x14ac:dyDescent="0.3">
      <c r="A103" s="162">
        <v>102</v>
      </c>
      <c r="B103" t="s">
        <v>122</v>
      </c>
      <c r="C103" s="162">
        <v>187</v>
      </c>
      <c r="D103" s="162">
        <v>3</v>
      </c>
      <c r="E103" s="162">
        <v>3</v>
      </c>
      <c r="F103" s="162">
        <v>1</v>
      </c>
      <c r="G103" s="162">
        <v>1</v>
      </c>
      <c r="H103" s="162">
        <v>0.87</v>
      </c>
      <c r="I103" s="162">
        <v>0.78</v>
      </c>
      <c r="J103" s="162">
        <v>8.1999999999999993</v>
      </c>
      <c r="K103" s="162">
        <v>15.6</v>
      </c>
      <c r="L103" s="162">
        <v>20</v>
      </c>
      <c r="M103" s="162">
        <v>13.5</v>
      </c>
    </row>
    <row r="104" spans="1:13" x14ac:dyDescent="0.3">
      <c r="A104" s="162">
        <v>103</v>
      </c>
      <c r="B104" t="s">
        <v>123</v>
      </c>
      <c r="C104" s="162">
        <v>232</v>
      </c>
      <c r="D104" s="162"/>
      <c r="E104" s="162"/>
      <c r="F104" s="162">
        <v>1</v>
      </c>
      <c r="G104" s="162">
        <v>0</v>
      </c>
      <c r="H104" s="162">
        <v>1.343</v>
      </c>
      <c r="I104" s="162">
        <v>1.01</v>
      </c>
      <c r="J104" s="162">
        <v>11.69</v>
      </c>
      <c r="K104" s="162">
        <v>21</v>
      </c>
      <c r="L104" s="162">
        <v>15.6</v>
      </c>
      <c r="M104" s="162">
        <v>12</v>
      </c>
    </row>
    <row r="105" spans="1:13" x14ac:dyDescent="0.3">
      <c r="A105" s="162">
        <v>104</v>
      </c>
      <c r="B105" t="s">
        <v>124</v>
      </c>
      <c r="C105" s="162">
        <v>324</v>
      </c>
      <c r="D105" s="162">
        <v>5</v>
      </c>
      <c r="E105" s="162">
        <v>4</v>
      </c>
      <c r="F105" s="162">
        <v>1</v>
      </c>
      <c r="G105" s="162">
        <v>1</v>
      </c>
      <c r="H105" s="162"/>
      <c r="I105" s="162">
        <v>0.72</v>
      </c>
      <c r="J105" s="162">
        <v>15.77</v>
      </c>
      <c r="K105" s="162">
        <v>9.6</v>
      </c>
      <c r="L105" s="162">
        <v>10.5</v>
      </c>
      <c r="M105" s="162">
        <v>9</v>
      </c>
    </row>
    <row r="106" spans="1:13" x14ac:dyDescent="0.3">
      <c r="A106" s="162">
        <v>105</v>
      </c>
      <c r="B106" t="s">
        <v>125</v>
      </c>
      <c r="C106" s="162">
        <v>443</v>
      </c>
      <c r="D106" s="162">
        <v>2</v>
      </c>
      <c r="E106" s="162">
        <v>3</v>
      </c>
      <c r="F106" s="162">
        <v>1</v>
      </c>
      <c r="G106" s="162">
        <v>1</v>
      </c>
      <c r="H106" s="162">
        <v>1.3480000000000001</v>
      </c>
      <c r="I106" s="162">
        <v>0.88</v>
      </c>
      <c r="J106" s="162">
        <v>13.42</v>
      </c>
      <c r="K106" s="162">
        <v>14.9</v>
      </c>
      <c r="L106" s="162">
        <v>16.3</v>
      </c>
      <c r="M106" s="162">
        <v>13</v>
      </c>
    </row>
    <row r="107" spans="1:13" x14ac:dyDescent="0.3">
      <c r="A107" s="162">
        <v>106</v>
      </c>
      <c r="B107" t="s">
        <v>126</v>
      </c>
      <c r="C107" s="162">
        <v>48</v>
      </c>
      <c r="D107" s="162"/>
      <c r="E107" s="162"/>
      <c r="F107" s="162">
        <v>1</v>
      </c>
      <c r="G107" s="162">
        <v>0</v>
      </c>
      <c r="H107" s="162"/>
      <c r="I107" s="162">
        <v>0.45</v>
      </c>
      <c r="J107" s="162">
        <v>32.090000000000003</v>
      </c>
      <c r="K107" s="162">
        <v>4.8</v>
      </c>
      <c r="L107" s="162">
        <v>30.8</v>
      </c>
      <c r="M107" s="162">
        <v>13</v>
      </c>
    </row>
    <row r="108" spans="1:13" x14ac:dyDescent="0.3">
      <c r="A108" s="162">
        <v>107</v>
      </c>
      <c r="B108" t="s">
        <v>127</v>
      </c>
      <c r="C108" s="162">
        <v>278</v>
      </c>
      <c r="D108" s="162"/>
      <c r="E108" s="162"/>
      <c r="F108" s="162">
        <v>1</v>
      </c>
      <c r="G108" s="162">
        <v>0</v>
      </c>
      <c r="H108" s="162">
        <v>0.93</v>
      </c>
      <c r="I108" s="162">
        <v>1.81</v>
      </c>
      <c r="J108" s="162">
        <v>14.59</v>
      </c>
      <c r="K108" s="162">
        <v>13.6</v>
      </c>
      <c r="L108" s="162">
        <v>10.5</v>
      </c>
      <c r="M108" s="162">
        <v>13</v>
      </c>
    </row>
    <row r="109" spans="1:13" x14ac:dyDescent="0.3">
      <c r="A109" s="162">
        <v>108</v>
      </c>
      <c r="B109" t="s">
        <v>128</v>
      </c>
      <c r="C109" s="162">
        <v>259</v>
      </c>
      <c r="D109" s="162">
        <v>3</v>
      </c>
      <c r="E109" s="162">
        <v>4</v>
      </c>
      <c r="F109" s="162">
        <v>1</v>
      </c>
      <c r="G109" s="162">
        <v>1</v>
      </c>
      <c r="H109" s="162">
        <v>0.73199999999999998</v>
      </c>
      <c r="I109" s="162">
        <v>1.99</v>
      </c>
      <c r="J109" s="162">
        <v>8.33</v>
      </c>
      <c r="K109" s="162">
        <v>18.899999999999999</v>
      </c>
      <c r="L109" s="162">
        <v>7.6</v>
      </c>
      <c r="M109" s="162">
        <v>8</v>
      </c>
    </row>
    <row r="110" spans="1:13" x14ac:dyDescent="0.3">
      <c r="A110" s="162">
        <v>109</v>
      </c>
      <c r="B110" t="s">
        <v>129</v>
      </c>
      <c r="C110" s="162">
        <v>73</v>
      </c>
      <c r="D110" s="162"/>
      <c r="E110" s="162"/>
      <c r="F110" s="162">
        <v>1</v>
      </c>
      <c r="G110" s="162">
        <v>0</v>
      </c>
      <c r="H110" s="162">
        <v>1.3919999999999999</v>
      </c>
      <c r="I110" s="162">
        <v>1.03</v>
      </c>
      <c r="J110" s="162">
        <v>30</v>
      </c>
      <c r="K110" s="162">
        <v>11.9</v>
      </c>
      <c r="L110" s="162">
        <v>29.2</v>
      </c>
      <c r="M110" s="162">
        <v>10.5</v>
      </c>
    </row>
    <row r="111" spans="1:13" x14ac:dyDescent="0.3">
      <c r="A111" s="162">
        <v>110</v>
      </c>
      <c r="B111" t="s">
        <v>130</v>
      </c>
      <c r="C111" s="162">
        <v>196</v>
      </c>
      <c r="D111" s="162"/>
      <c r="E111" s="162"/>
      <c r="F111" s="162">
        <v>1</v>
      </c>
      <c r="G111" s="162">
        <v>0</v>
      </c>
      <c r="H111" s="162">
        <v>0.75600000000000001</v>
      </c>
      <c r="I111" s="162">
        <v>0.7</v>
      </c>
      <c r="J111" s="162">
        <v>18.39</v>
      </c>
      <c r="K111" s="162">
        <v>14.1</v>
      </c>
      <c r="L111" s="162">
        <v>35.9</v>
      </c>
      <c r="M111" s="162">
        <v>9</v>
      </c>
    </row>
    <row r="112" spans="1:13" x14ac:dyDescent="0.3">
      <c r="A112" s="162">
        <v>111</v>
      </c>
      <c r="B112" t="s">
        <v>131</v>
      </c>
      <c r="C112" s="162">
        <v>41</v>
      </c>
      <c r="D112" s="162"/>
      <c r="E112" s="162"/>
      <c r="F112" s="162">
        <v>1</v>
      </c>
      <c r="G112" s="162">
        <v>0</v>
      </c>
      <c r="H112" s="162">
        <v>1.016</v>
      </c>
      <c r="I112" s="162">
        <v>0.45</v>
      </c>
      <c r="J112" s="162">
        <v>16.059999999999999</v>
      </c>
      <c r="K112" s="162">
        <v>0</v>
      </c>
      <c r="L112" s="162">
        <v>21.1</v>
      </c>
      <c r="M112" s="162">
        <v>15.5</v>
      </c>
    </row>
    <row r="113" spans="1:13" x14ac:dyDescent="0.3">
      <c r="A113" s="162">
        <v>112</v>
      </c>
      <c r="B113" t="s">
        <v>132</v>
      </c>
      <c r="C113" s="162">
        <v>186</v>
      </c>
      <c r="D113" s="162">
        <v>3</v>
      </c>
      <c r="E113" s="162">
        <v>4</v>
      </c>
      <c r="F113" s="162">
        <v>1</v>
      </c>
      <c r="G113" s="162">
        <v>1</v>
      </c>
      <c r="H113" s="162">
        <v>0.66900000000000004</v>
      </c>
      <c r="I113" s="162">
        <v>0.8</v>
      </c>
      <c r="J113" s="162">
        <v>9.7100000000000009</v>
      </c>
      <c r="K113" s="162">
        <v>7.5</v>
      </c>
      <c r="L113" s="162">
        <v>13.8</v>
      </c>
      <c r="M113" s="162">
        <v>12</v>
      </c>
    </row>
    <row r="114" spans="1:13" x14ac:dyDescent="0.3">
      <c r="A114" s="162">
        <v>113</v>
      </c>
      <c r="B114" t="s">
        <v>133</v>
      </c>
      <c r="C114" s="162">
        <v>25</v>
      </c>
      <c r="D114" s="162">
        <v>3</v>
      </c>
      <c r="E114" s="162">
        <v>4</v>
      </c>
      <c r="F114" s="162">
        <v>1</v>
      </c>
      <c r="G114" s="162">
        <v>1</v>
      </c>
      <c r="H114" s="162">
        <v>1.619</v>
      </c>
      <c r="I114" s="162">
        <v>0.24</v>
      </c>
      <c r="J114" s="162">
        <v>24.96</v>
      </c>
      <c r="K114" s="162">
        <v>18.2</v>
      </c>
      <c r="L114" s="162">
        <v>5.4</v>
      </c>
      <c r="M114" s="162">
        <v>12</v>
      </c>
    </row>
    <row r="115" spans="1:13" x14ac:dyDescent="0.3">
      <c r="A115" s="162">
        <v>114</v>
      </c>
      <c r="B115" t="s">
        <v>134</v>
      </c>
      <c r="C115" s="162">
        <v>112</v>
      </c>
      <c r="D115" s="162"/>
      <c r="E115" s="162"/>
      <c r="F115" s="162">
        <v>1</v>
      </c>
      <c r="G115" s="162">
        <v>0</v>
      </c>
      <c r="H115" s="162">
        <v>0.9</v>
      </c>
      <c r="I115" s="162">
        <v>0.54</v>
      </c>
      <c r="J115" s="162">
        <v>16.78</v>
      </c>
      <c r="K115" s="162">
        <v>17</v>
      </c>
      <c r="L115" s="162">
        <v>17.5</v>
      </c>
      <c r="M115" s="162">
        <v>13</v>
      </c>
    </row>
    <row r="116" spans="1:13" x14ac:dyDescent="0.3">
      <c r="A116" s="162">
        <v>115</v>
      </c>
      <c r="B116" t="s">
        <v>135</v>
      </c>
      <c r="C116" s="162">
        <v>56</v>
      </c>
      <c r="D116" s="162">
        <v>5</v>
      </c>
      <c r="E116" s="162">
        <v>5</v>
      </c>
      <c r="F116" s="162">
        <v>1</v>
      </c>
      <c r="G116" s="162">
        <v>1</v>
      </c>
      <c r="H116" s="162">
        <v>0.95299999999999996</v>
      </c>
      <c r="I116" s="162">
        <v>0.22</v>
      </c>
      <c r="J116" s="162">
        <v>11.49</v>
      </c>
      <c r="K116" s="162">
        <v>20</v>
      </c>
      <c r="L116" s="162">
        <v>13.6</v>
      </c>
      <c r="M116" s="162">
        <v>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4B02-0E94-4DC9-976F-1A0932115FA2}">
  <dimension ref="A1:S87"/>
  <sheetViews>
    <sheetView workbookViewId="0">
      <selection activeCell="G4" sqref="G4"/>
    </sheetView>
  </sheetViews>
  <sheetFormatPr defaultRowHeight="14.4" x14ac:dyDescent="0.3"/>
  <cols>
    <col min="1" max="1" width="18.44140625" customWidth="1"/>
    <col min="2" max="2" width="36" bestFit="1" customWidth="1"/>
    <col min="3" max="4" width="15.33203125" customWidth="1"/>
    <col min="5" max="5" width="15.33203125" style="143" customWidth="1"/>
    <col min="6" max="7" width="15.33203125" customWidth="1"/>
    <col min="12" max="12" width="14.6640625" bestFit="1" customWidth="1"/>
    <col min="13" max="13" width="13.5546875" bestFit="1" customWidth="1"/>
    <col min="14" max="15" width="11" bestFit="1" customWidth="1"/>
    <col min="16" max="16" width="12" bestFit="1" customWidth="1"/>
    <col min="17" max="18" width="13.109375" bestFit="1" customWidth="1"/>
    <col min="19" max="19" width="9" bestFit="1" customWidth="1"/>
  </cols>
  <sheetData>
    <row r="1" spans="1:19" x14ac:dyDescent="0.3">
      <c r="A1" s="137" t="s">
        <v>421</v>
      </c>
      <c r="B1" s="138"/>
      <c r="C1" s="139" t="s">
        <v>420</v>
      </c>
      <c r="D1" s="139" t="s">
        <v>409</v>
      </c>
      <c r="E1" s="139" t="s">
        <v>431</v>
      </c>
      <c r="L1" s="161" t="s">
        <v>525</v>
      </c>
    </row>
    <row r="2" spans="1:19" x14ac:dyDescent="0.3">
      <c r="A2" s="135" t="s">
        <v>504</v>
      </c>
      <c r="B2" s="134" t="s">
        <v>430</v>
      </c>
      <c r="C2" s="143" t="s">
        <v>435</v>
      </c>
      <c r="D2" s="143" t="s">
        <v>442</v>
      </c>
      <c r="E2" s="143">
        <v>6.2E-2</v>
      </c>
      <c r="L2" t="s">
        <v>409</v>
      </c>
      <c r="M2" t="s">
        <v>410</v>
      </c>
      <c r="N2" t="s">
        <v>408</v>
      </c>
      <c r="O2" t="s">
        <v>412</v>
      </c>
      <c r="P2" t="s">
        <v>428</v>
      </c>
      <c r="Q2" t="s">
        <v>429</v>
      </c>
      <c r="R2" t="s">
        <v>414</v>
      </c>
      <c r="S2" t="s">
        <v>415</v>
      </c>
    </row>
    <row r="3" spans="1:19" x14ac:dyDescent="0.3">
      <c r="B3" s="134" t="s">
        <v>422</v>
      </c>
      <c r="C3" s="143" t="s">
        <v>436</v>
      </c>
      <c r="D3" s="143" t="s">
        <v>443</v>
      </c>
      <c r="E3" s="143">
        <v>0.91700000000000004</v>
      </c>
    </row>
    <row r="4" spans="1:19" x14ac:dyDescent="0.3">
      <c r="B4" s="134" t="s">
        <v>423</v>
      </c>
      <c r="C4" s="143" t="s">
        <v>437</v>
      </c>
      <c r="D4" s="143" t="s">
        <v>444</v>
      </c>
      <c r="E4" s="143">
        <v>0.49399999999999999</v>
      </c>
      <c r="L4">
        <v>0</v>
      </c>
      <c r="M4">
        <v>264.73419999999999</v>
      </c>
      <c r="N4">
        <v>1.195746</v>
      </c>
      <c r="O4">
        <v>0.98544299999999996</v>
      </c>
      <c r="P4">
        <v>4.5603800000000003</v>
      </c>
      <c r="Q4">
        <v>19.840509999999998</v>
      </c>
      <c r="R4">
        <v>33.464559999999999</v>
      </c>
      <c r="S4">
        <v>5.3037970000000003</v>
      </c>
    </row>
    <row r="5" spans="1:19" x14ac:dyDescent="0.3">
      <c r="B5" s="134" t="s">
        <v>434</v>
      </c>
      <c r="C5" s="143" t="s">
        <v>438</v>
      </c>
      <c r="D5" s="143" t="s">
        <v>445</v>
      </c>
      <c r="E5" s="143">
        <v>0.42</v>
      </c>
      <c r="M5">
        <v>206.8937</v>
      </c>
      <c r="N5">
        <v>0.52044919999999995</v>
      </c>
      <c r="O5">
        <v>0.53361080000000005</v>
      </c>
      <c r="P5">
        <v>1.3635790000000001</v>
      </c>
      <c r="Q5">
        <v>5.4999650000000004</v>
      </c>
      <c r="R5">
        <v>5.4949399999999997</v>
      </c>
      <c r="S5">
        <v>2.4734720000000001</v>
      </c>
    </row>
    <row r="6" spans="1:19" x14ac:dyDescent="0.3">
      <c r="B6" s="134" t="s">
        <v>424</v>
      </c>
      <c r="C6" s="143" t="s">
        <v>439</v>
      </c>
      <c r="D6" s="143" t="s">
        <v>446</v>
      </c>
      <c r="E6" s="143">
        <v>0.38</v>
      </c>
    </row>
    <row r="7" spans="1:19" x14ac:dyDescent="0.3">
      <c r="B7" s="134" t="s">
        <v>425</v>
      </c>
      <c r="C7" s="143" t="s">
        <v>440</v>
      </c>
      <c r="D7" s="143" t="s">
        <v>447</v>
      </c>
      <c r="E7" s="143">
        <v>0.22800000000000001</v>
      </c>
      <c r="L7">
        <v>1</v>
      </c>
      <c r="M7">
        <v>325.59429999999998</v>
      </c>
      <c r="N7">
        <v>1.2050110000000001</v>
      </c>
      <c r="O7">
        <v>1.045588</v>
      </c>
      <c r="P7">
        <v>4.7306600000000003</v>
      </c>
      <c r="Q7">
        <v>19.088239999999999</v>
      </c>
      <c r="R7">
        <v>32.523530000000001</v>
      </c>
      <c r="S7">
        <v>4.6127450000000003</v>
      </c>
    </row>
    <row r="8" spans="1:19" x14ac:dyDescent="0.3">
      <c r="B8" s="140" t="s">
        <v>426</v>
      </c>
      <c r="C8" s="144" t="s">
        <v>441</v>
      </c>
      <c r="D8" s="144" t="s">
        <v>448</v>
      </c>
      <c r="E8" s="145">
        <v>1.7000000000000001E-2</v>
      </c>
      <c r="F8" s="146" t="s">
        <v>449</v>
      </c>
      <c r="M8">
        <v>225.6062</v>
      </c>
      <c r="N8">
        <v>0.59850840000000005</v>
      </c>
      <c r="O8">
        <v>0.62157510000000005</v>
      </c>
      <c r="P8">
        <v>1.4552929999999999</v>
      </c>
      <c r="Q8">
        <v>5.850231</v>
      </c>
      <c r="R8">
        <v>4.9372730000000002</v>
      </c>
      <c r="S8">
        <v>1.323637</v>
      </c>
    </row>
    <row r="9" spans="1:19" x14ac:dyDescent="0.3">
      <c r="B9" s="134" t="s">
        <v>427</v>
      </c>
    </row>
    <row r="10" spans="1:19" x14ac:dyDescent="0.3">
      <c r="M10" s="134" t="s">
        <v>432</v>
      </c>
    </row>
    <row r="11" spans="1:19" x14ac:dyDescent="0.3">
      <c r="B11" s="165" t="s">
        <v>458</v>
      </c>
      <c r="M11" s="134" t="s">
        <v>433</v>
      </c>
    </row>
    <row r="12" spans="1:19" x14ac:dyDescent="0.3">
      <c r="B12" s="147" t="s">
        <v>452</v>
      </c>
      <c r="M12">
        <f>ROUND(M4,2)</f>
        <v>264.73</v>
      </c>
      <c r="N12" s="141">
        <f t="shared" ref="N12:S12" si="0">ROUND(N4,2)</f>
        <v>1.2</v>
      </c>
      <c r="O12">
        <f t="shared" si="0"/>
        <v>0.99</v>
      </c>
      <c r="P12">
        <f t="shared" si="0"/>
        <v>4.5599999999999996</v>
      </c>
      <c r="Q12" s="141">
        <f t="shared" si="0"/>
        <v>19.84</v>
      </c>
      <c r="R12" s="141">
        <f t="shared" si="0"/>
        <v>33.46</v>
      </c>
      <c r="S12">
        <f t="shared" si="0"/>
        <v>5.3</v>
      </c>
    </row>
    <row r="13" spans="1:19" x14ac:dyDescent="0.3">
      <c r="B13" s="147" t="s">
        <v>450</v>
      </c>
      <c r="C13">
        <v>-0.26600000000000001</v>
      </c>
      <c r="M13">
        <f>ROUND(M5,2)</f>
        <v>206.89</v>
      </c>
      <c r="N13">
        <f t="shared" ref="N13:S13" si="1">ROUND(N5,2)</f>
        <v>0.52</v>
      </c>
      <c r="O13">
        <f t="shared" si="1"/>
        <v>0.53</v>
      </c>
      <c r="P13">
        <f t="shared" si="1"/>
        <v>1.36</v>
      </c>
      <c r="Q13">
        <f t="shared" si="1"/>
        <v>5.5</v>
      </c>
      <c r="R13">
        <f t="shared" si="1"/>
        <v>5.49</v>
      </c>
      <c r="S13">
        <f t="shared" si="1"/>
        <v>2.4700000000000002</v>
      </c>
    </row>
    <row r="14" spans="1:19" x14ac:dyDescent="0.3">
      <c r="B14" s="147" t="s">
        <v>451</v>
      </c>
      <c r="C14" s="148">
        <v>0.79</v>
      </c>
      <c r="D14" s="146" t="s">
        <v>453</v>
      </c>
    </row>
    <row r="15" spans="1:19" x14ac:dyDescent="0.3">
      <c r="M15">
        <f>ROUND(M7,2)</f>
        <v>325.58999999999997</v>
      </c>
      <c r="N15">
        <f t="shared" ref="N15:S15" si="2">ROUND(N7,2)</f>
        <v>1.21</v>
      </c>
      <c r="O15">
        <f t="shared" si="2"/>
        <v>1.05</v>
      </c>
      <c r="P15">
        <f t="shared" si="2"/>
        <v>4.7300000000000004</v>
      </c>
      <c r="Q15">
        <f t="shared" si="2"/>
        <v>19.09</v>
      </c>
      <c r="R15">
        <f t="shared" si="2"/>
        <v>32.520000000000003</v>
      </c>
      <c r="S15">
        <f t="shared" si="2"/>
        <v>4.6100000000000003</v>
      </c>
    </row>
    <row r="16" spans="1:19" x14ac:dyDescent="0.3">
      <c r="B16" s="134" t="s">
        <v>454</v>
      </c>
    </row>
    <row r="17" spans="2:19" x14ac:dyDescent="0.3">
      <c r="B17" s="147" t="s">
        <v>455</v>
      </c>
      <c r="M17" t="str">
        <f>_xlfn.CONCAT(M12,$M$10,M13,$M$11)</f>
        <v>264.73 (206.89)</v>
      </c>
      <c r="N17" t="str">
        <f t="shared" ref="N17:S17" si="3">_xlfn.CONCAT(N12,$M$10,N13,$M$11)</f>
        <v>1.2 (0.52)</v>
      </c>
      <c r="O17" t="str">
        <f t="shared" si="3"/>
        <v>0.99 (0.53)</v>
      </c>
      <c r="P17" t="str">
        <f t="shared" si="3"/>
        <v>4.56 (1.36)</v>
      </c>
      <c r="Q17" t="str">
        <f t="shared" si="3"/>
        <v>19.84 (5.5)</v>
      </c>
      <c r="R17" t="str">
        <f t="shared" si="3"/>
        <v>33.46 (5.49)</v>
      </c>
      <c r="S17" t="str">
        <f t="shared" si="3"/>
        <v>5.3 (2.47)</v>
      </c>
    </row>
    <row r="18" spans="2:19" x14ac:dyDescent="0.3">
      <c r="B18" s="147" t="s">
        <v>456</v>
      </c>
      <c r="C18">
        <v>-0.34399999999999997</v>
      </c>
      <c r="M18" t="e">
        <f>_xlfn.CONCAT(M15,$M$10,#REF!,$M$11)</f>
        <v>#REF!</v>
      </c>
      <c r="N18" t="e">
        <f>_xlfn.CONCAT(N15,$M$10,#REF!,$M$11)</f>
        <v>#REF!</v>
      </c>
      <c r="O18" t="e">
        <f>_xlfn.CONCAT(O15,$M$10,#REF!,$M$11)</f>
        <v>#REF!</v>
      </c>
      <c r="P18" t="e">
        <f>_xlfn.CONCAT(P15,$M$10,#REF!,$M$11)</f>
        <v>#REF!</v>
      </c>
      <c r="Q18" t="e">
        <f>_xlfn.CONCAT(Q15,$M$10,#REF!,$M$11)</f>
        <v>#REF!</v>
      </c>
      <c r="R18" t="e">
        <f>_xlfn.CONCAT(R15,$M$10,#REF!,$M$11)</f>
        <v>#REF!</v>
      </c>
      <c r="S18" t="e">
        <f>_xlfn.CONCAT(S15,$M$10,#REF!,$M$11)</f>
        <v>#REF!</v>
      </c>
    </row>
    <row r="19" spans="2:19" x14ac:dyDescent="0.3">
      <c r="B19" s="147" t="s">
        <v>451</v>
      </c>
      <c r="C19" s="148">
        <v>0.72499999999999998</v>
      </c>
      <c r="D19" s="146" t="s">
        <v>457</v>
      </c>
    </row>
    <row r="20" spans="2:19" x14ac:dyDescent="0.3">
      <c r="M20" t="s">
        <v>435</v>
      </c>
      <c r="N20" t="s">
        <v>436</v>
      </c>
      <c r="O20" t="s">
        <v>437</v>
      </c>
      <c r="P20" t="s">
        <v>438</v>
      </c>
      <c r="Q20" t="s">
        <v>439</v>
      </c>
      <c r="R20" t="s">
        <v>440</v>
      </c>
      <c r="S20" t="s">
        <v>441</v>
      </c>
    </row>
    <row r="21" spans="2:19" x14ac:dyDescent="0.3">
      <c r="B21" s="149" t="s">
        <v>488</v>
      </c>
      <c r="M21" t="s">
        <v>442</v>
      </c>
      <c r="N21" t="s">
        <v>443</v>
      </c>
      <c r="O21" t="s">
        <v>444</v>
      </c>
      <c r="P21" t="s">
        <v>445</v>
      </c>
      <c r="Q21" t="s">
        <v>446</v>
      </c>
      <c r="R21" t="s">
        <v>447</v>
      </c>
      <c r="S21" t="s">
        <v>448</v>
      </c>
    </row>
    <row r="22" spans="2:19" x14ac:dyDescent="0.3">
      <c r="B22" s="147"/>
    </row>
    <row r="23" spans="2:19" x14ac:dyDescent="0.3">
      <c r="B23" s="147" t="s">
        <v>489</v>
      </c>
      <c r="C23" s="150" t="s">
        <v>485</v>
      </c>
      <c r="D23" s="144">
        <v>3</v>
      </c>
      <c r="E23" s="144">
        <v>4</v>
      </c>
      <c r="F23" s="144">
        <v>5</v>
      </c>
      <c r="G23" s="144" t="s">
        <v>459</v>
      </c>
    </row>
    <row r="24" spans="2:19" x14ac:dyDescent="0.3">
      <c r="C24" s="143">
        <v>1</v>
      </c>
      <c r="D24" s="143" t="s">
        <v>461</v>
      </c>
      <c r="E24" s="143" t="s">
        <v>462</v>
      </c>
      <c r="F24" s="143" t="s">
        <v>463</v>
      </c>
      <c r="G24" s="143" t="s">
        <v>464</v>
      </c>
      <c r="M24" s="136">
        <v>1</v>
      </c>
      <c r="N24" s="143">
        <v>4</v>
      </c>
      <c r="O24" s="143">
        <v>2</v>
      </c>
      <c r="P24" s="143">
        <v>5</v>
      </c>
      <c r="Q24" s="143">
        <v>11</v>
      </c>
    </row>
    <row r="25" spans="2:19" x14ac:dyDescent="0.3">
      <c r="C25" s="143">
        <v>2</v>
      </c>
      <c r="D25" s="143" t="s">
        <v>465</v>
      </c>
      <c r="E25" s="143" t="s">
        <v>466</v>
      </c>
      <c r="F25" s="143" t="s">
        <v>467</v>
      </c>
      <c r="G25" s="143" t="s">
        <v>468</v>
      </c>
      <c r="M25" s="136"/>
      <c r="N25" s="143">
        <v>36.36</v>
      </c>
      <c r="O25" s="143">
        <v>18.18</v>
      </c>
      <c r="P25" s="143">
        <v>45.45</v>
      </c>
      <c r="Q25" s="143">
        <v>100</v>
      </c>
    </row>
    <row r="26" spans="2:19" x14ac:dyDescent="0.3">
      <c r="C26" s="143">
        <v>3</v>
      </c>
      <c r="D26" s="143" t="s">
        <v>469</v>
      </c>
      <c r="E26" s="143" t="s">
        <v>470</v>
      </c>
      <c r="F26" s="143" t="s">
        <v>471</v>
      </c>
      <c r="G26" s="143" t="s">
        <v>472</v>
      </c>
      <c r="M26" s="143"/>
      <c r="N26" s="143"/>
      <c r="O26" s="143"/>
      <c r="P26" s="143"/>
      <c r="Q26" s="143"/>
    </row>
    <row r="27" spans="2:19" x14ac:dyDescent="0.3">
      <c r="C27" s="143">
        <v>4</v>
      </c>
      <c r="D27" s="143" t="s">
        <v>473</v>
      </c>
      <c r="E27" s="143" t="s">
        <v>474</v>
      </c>
      <c r="F27" s="143" t="s">
        <v>475</v>
      </c>
      <c r="G27" s="143" t="s">
        <v>476</v>
      </c>
      <c r="M27" s="143">
        <v>2</v>
      </c>
      <c r="N27" s="143">
        <v>11</v>
      </c>
      <c r="O27" s="143">
        <v>10</v>
      </c>
      <c r="P27" s="143">
        <v>9</v>
      </c>
      <c r="Q27" s="143">
        <v>30</v>
      </c>
    </row>
    <row r="28" spans="2:19" x14ac:dyDescent="0.3">
      <c r="C28" s="143">
        <v>5</v>
      </c>
      <c r="D28" s="143" t="s">
        <v>477</v>
      </c>
      <c r="E28" s="143" t="s">
        <v>478</v>
      </c>
      <c r="F28" s="143" t="s">
        <v>479</v>
      </c>
      <c r="G28" s="143" t="s">
        <v>480</v>
      </c>
      <c r="M28" s="143"/>
      <c r="N28" s="143">
        <v>36.67</v>
      </c>
      <c r="O28" s="143">
        <v>33.33</v>
      </c>
      <c r="P28" s="143">
        <v>30</v>
      </c>
      <c r="Q28" s="143">
        <v>100</v>
      </c>
    </row>
    <row r="29" spans="2:19" x14ac:dyDescent="0.3">
      <c r="C29" s="139" t="s">
        <v>459</v>
      </c>
      <c r="D29" s="144" t="s">
        <v>481</v>
      </c>
      <c r="E29" s="144" t="s">
        <v>482</v>
      </c>
      <c r="F29" s="144" t="s">
        <v>483</v>
      </c>
      <c r="G29" s="144" t="s">
        <v>484</v>
      </c>
      <c r="M29" s="143"/>
      <c r="N29" s="143"/>
      <c r="O29" s="143"/>
      <c r="P29" s="143"/>
      <c r="Q29" s="143"/>
    </row>
    <row r="30" spans="2:19" x14ac:dyDescent="0.3">
      <c r="C30" s="147" t="s">
        <v>486</v>
      </c>
      <c r="D30" s="151">
        <v>0.35</v>
      </c>
      <c r="E30" s="152" t="s">
        <v>487</v>
      </c>
      <c r="M30" s="143">
        <v>3</v>
      </c>
      <c r="N30" s="143">
        <v>8</v>
      </c>
      <c r="O30" s="143">
        <v>7</v>
      </c>
      <c r="P30" s="143">
        <v>6</v>
      </c>
      <c r="Q30" s="143">
        <v>21</v>
      </c>
    </row>
    <row r="31" spans="2:19" x14ac:dyDescent="0.3">
      <c r="C31" s="143"/>
      <c r="D31" s="143"/>
      <c r="F31" s="143"/>
      <c r="G31" s="143"/>
      <c r="M31" s="143"/>
      <c r="N31" s="143">
        <v>38.1</v>
      </c>
      <c r="O31" s="143">
        <v>33.33</v>
      </c>
      <c r="P31" s="143">
        <v>28.57</v>
      </c>
      <c r="Q31" s="143">
        <v>100</v>
      </c>
    </row>
    <row r="32" spans="2:19" x14ac:dyDescent="0.3">
      <c r="B32" s="147" t="s">
        <v>490</v>
      </c>
      <c r="C32" s="150" t="s">
        <v>485</v>
      </c>
      <c r="D32" s="144">
        <v>3</v>
      </c>
      <c r="E32" s="144">
        <v>4</v>
      </c>
      <c r="F32" s="144">
        <v>5</v>
      </c>
      <c r="G32" s="144" t="s">
        <v>459</v>
      </c>
      <c r="M32" s="143"/>
      <c r="N32" s="143"/>
      <c r="O32" s="143"/>
      <c r="P32" s="143"/>
      <c r="Q32" s="143"/>
    </row>
    <row r="33" spans="1:17" x14ac:dyDescent="0.3">
      <c r="C33" s="143">
        <v>1</v>
      </c>
      <c r="D33" s="143" t="s">
        <v>491</v>
      </c>
      <c r="E33" s="143" t="s">
        <v>461</v>
      </c>
      <c r="F33" s="143" t="s">
        <v>492</v>
      </c>
      <c r="G33" s="143" t="s">
        <v>464</v>
      </c>
      <c r="M33" s="143">
        <v>4</v>
      </c>
      <c r="N33" s="143">
        <v>8</v>
      </c>
      <c r="O33" s="143">
        <v>14</v>
      </c>
      <c r="P33" s="143">
        <v>3</v>
      </c>
      <c r="Q33" s="143">
        <v>25</v>
      </c>
    </row>
    <row r="34" spans="1:17" x14ac:dyDescent="0.3">
      <c r="C34" s="143">
        <v>2</v>
      </c>
      <c r="D34" s="143" t="s">
        <v>493</v>
      </c>
      <c r="E34" s="143" t="s">
        <v>494</v>
      </c>
      <c r="F34" s="143" t="s">
        <v>495</v>
      </c>
      <c r="G34" s="143" t="s">
        <v>496</v>
      </c>
      <c r="M34" s="143"/>
      <c r="N34" s="143">
        <v>32</v>
      </c>
      <c r="O34" s="143">
        <v>56</v>
      </c>
      <c r="P34" s="143">
        <v>12</v>
      </c>
      <c r="Q34" s="143">
        <v>100</v>
      </c>
    </row>
    <row r="35" spans="1:17" x14ac:dyDescent="0.3">
      <c r="C35" s="143">
        <v>3</v>
      </c>
      <c r="D35" s="143" t="s">
        <v>469</v>
      </c>
      <c r="E35" s="143" t="s">
        <v>497</v>
      </c>
      <c r="F35" s="143" t="s">
        <v>498</v>
      </c>
      <c r="G35" s="143" t="s">
        <v>472</v>
      </c>
      <c r="M35" s="143"/>
      <c r="N35" s="143"/>
      <c r="O35" s="143"/>
      <c r="P35" s="143"/>
      <c r="Q35" s="143"/>
    </row>
    <row r="36" spans="1:17" x14ac:dyDescent="0.3">
      <c r="C36" s="143">
        <v>4</v>
      </c>
      <c r="D36" s="143" t="s">
        <v>474</v>
      </c>
      <c r="E36" s="143" t="s">
        <v>473</v>
      </c>
      <c r="F36" s="143" t="s">
        <v>475</v>
      </c>
      <c r="G36" s="143" t="s">
        <v>476</v>
      </c>
      <c r="M36" s="143">
        <v>5</v>
      </c>
      <c r="N36" s="143">
        <v>4</v>
      </c>
      <c r="O36" s="143">
        <v>9</v>
      </c>
      <c r="P36" s="143">
        <v>7</v>
      </c>
      <c r="Q36" s="143">
        <v>20</v>
      </c>
    </row>
    <row r="37" spans="1:17" x14ac:dyDescent="0.3">
      <c r="C37" s="143">
        <v>5</v>
      </c>
      <c r="D37" s="143" t="s">
        <v>499</v>
      </c>
      <c r="E37" s="143" t="s">
        <v>500</v>
      </c>
      <c r="F37" s="143" t="s">
        <v>501</v>
      </c>
      <c r="G37" s="143" t="s">
        <v>496</v>
      </c>
      <c r="M37" s="143"/>
      <c r="N37" s="143">
        <v>20</v>
      </c>
      <c r="O37" s="143">
        <v>45</v>
      </c>
      <c r="P37" s="143">
        <v>35</v>
      </c>
      <c r="Q37" s="143">
        <v>100</v>
      </c>
    </row>
    <row r="38" spans="1:17" x14ac:dyDescent="0.3">
      <c r="C38" s="139" t="s">
        <v>459</v>
      </c>
      <c r="D38" s="144" t="s">
        <v>502</v>
      </c>
      <c r="E38" s="144" t="s">
        <v>503</v>
      </c>
      <c r="F38" s="144" t="s">
        <v>477</v>
      </c>
      <c r="G38" s="144" t="s">
        <v>480</v>
      </c>
    </row>
    <row r="39" spans="1:17" x14ac:dyDescent="0.3">
      <c r="C39" s="147" t="s">
        <v>486</v>
      </c>
      <c r="D39" s="151">
        <v>0.32600000000000001</v>
      </c>
      <c r="E39" s="152" t="s">
        <v>487</v>
      </c>
      <c r="M39" t="s">
        <v>459</v>
      </c>
      <c r="N39">
        <v>35</v>
      </c>
      <c r="O39">
        <v>42</v>
      </c>
      <c r="P39">
        <v>30</v>
      </c>
      <c r="Q39">
        <v>107</v>
      </c>
    </row>
    <row r="40" spans="1:17" x14ac:dyDescent="0.3">
      <c r="N40">
        <v>32.71</v>
      </c>
      <c r="O40">
        <v>39.25</v>
      </c>
      <c r="P40">
        <v>28.04</v>
      </c>
      <c r="Q40">
        <v>100</v>
      </c>
    </row>
    <row r="41" spans="1:17" x14ac:dyDescent="0.3">
      <c r="A41" s="135" t="s">
        <v>505</v>
      </c>
    </row>
    <row r="42" spans="1:17" x14ac:dyDescent="0.3">
      <c r="A42" s="134" t="s">
        <v>515</v>
      </c>
    </row>
    <row r="43" spans="1:17" x14ac:dyDescent="0.3">
      <c r="B43" s="138"/>
      <c r="C43" s="144" t="s">
        <v>514</v>
      </c>
      <c r="D43" s="139" t="s">
        <v>486</v>
      </c>
      <c r="E43" s="144" t="s">
        <v>506</v>
      </c>
      <c r="F43" s="144" t="s">
        <v>507</v>
      </c>
    </row>
    <row r="44" spans="1:17" x14ac:dyDescent="0.3">
      <c r="B44" s="153" t="s">
        <v>460</v>
      </c>
      <c r="C44" s="143"/>
      <c r="D44" s="143"/>
      <c r="F44" s="143"/>
    </row>
    <row r="45" spans="1:17" x14ac:dyDescent="0.3">
      <c r="B45" s="153">
        <v>2</v>
      </c>
      <c r="C45" s="151">
        <v>2.8117030000000001</v>
      </c>
      <c r="D45" s="151">
        <v>9.7000000000000003E-2</v>
      </c>
      <c r="E45" s="151">
        <v>0.82996239999999999</v>
      </c>
      <c r="F45" s="151">
        <v>9.5253399999999999</v>
      </c>
      <c r="G45" s="146" t="s">
        <v>517</v>
      </c>
    </row>
    <row r="46" spans="1:17" x14ac:dyDescent="0.3">
      <c r="B46" s="153">
        <v>3</v>
      </c>
      <c r="C46" s="151">
        <v>0.69508899999999996</v>
      </c>
      <c r="D46" s="151">
        <v>0.56000000000000005</v>
      </c>
      <c r="E46" s="151">
        <v>0.20455909999999999</v>
      </c>
      <c r="F46" s="151">
        <v>2.3619029999999999</v>
      </c>
    </row>
    <row r="47" spans="1:17" x14ac:dyDescent="0.3">
      <c r="B47" s="153">
        <v>4</v>
      </c>
      <c r="C47" s="151">
        <v>0.94039989999999996</v>
      </c>
      <c r="D47" s="151">
        <v>0.92100000000000004</v>
      </c>
      <c r="E47" s="151">
        <v>0.27987529999999999</v>
      </c>
      <c r="F47" s="151">
        <v>3.1598069999999998</v>
      </c>
    </row>
    <row r="48" spans="1:17" x14ac:dyDescent="0.3">
      <c r="B48" s="153">
        <v>5</v>
      </c>
      <c r="C48" s="151">
        <v>3.292386</v>
      </c>
      <c r="D48" s="151">
        <v>9.6000000000000002E-2</v>
      </c>
      <c r="E48" s="151">
        <v>0.81081499999999995</v>
      </c>
      <c r="F48" s="151">
        <v>13.36903</v>
      </c>
    </row>
    <row r="49" spans="1:7" x14ac:dyDescent="0.3">
      <c r="B49" s="157" t="s">
        <v>508</v>
      </c>
      <c r="C49" s="156">
        <v>1.002167</v>
      </c>
      <c r="D49" s="156">
        <v>4.3999999999999997E-2</v>
      </c>
      <c r="E49" s="156">
        <v>1.0000549999999999</v>
      </c>
      <c r="F49" s="156">
        <v>1.004283</v>
      </c>
      <c r="G49" s="146" t="s">
        <v>523</v>
      </c>
    </row>
    <row r="50" spans="1:7" x14ac:dyDescent="0.3">
      <c r="B50" s="147" t="s">
        <v>509</v>
      </c>
      <c r="C50" s="151">
        <v>0.85557660000000002</v>
      </c>
      <c r="D50" s="151">
        <v>0.63400000000000001</v>
      </c>
      <c r="E50" s="151">
        <v>0.44981789999999999</v>
      </c>
      <c r="F50" s="151">
        <v>1.627351</v>
      </c>
    </row>
    <row r="51" spans="1:7" x14ac:dyDescent="0.3">
      <c r="B51" s="147" t="s">
        <v>510</v>
      </c>
      <c r="C51" s="151">
        <v>0.51260349999999999</v>
      </c>
      <c r="D51" s="151">
        <v>0.16800000000000001</v>
      </c>
      <c r="E51" s="151">
        <v>0.19813449999999999</v>
      </c>
      <c r="F51" s="151">
        <v>1.326182</v>
      </c>
    </row>
    <row r="52" spans="1:7" x14ac:dyDescent="0.3">
      <c r="B52" s="147" t="s">
        <v>511</v>
      </c>
      <c r="C52" s="151">
        <v>1.2162599999999999</v>
      </c>
      <c r="D52" s="151">
        <v>0.16400000000000001</v>
      </c>
      <c r="E52" s="151">
        <v>0.92315469999999999</v>
      </c>
      <c r="F52" s="151">
        <v>1.602428</v>
      </c>
    </row>
    <row r="53" spans="1:7" x14ac:dyDescent="0.3">
      <c r="B53" s="147" t="s">
        <v>512</v>
      </c>
      <c r="C53" s="151">
        <v>0.95422609999999997</v>
      </c>
      <c r="D53" s="151">
        <v>0.183</v>
      </c>
      <c r="E53" s="151">
        <v>0.89067560000000001</v>
      </c>
      <c r="F53" s="151">
        <v>1.022311</v>
      </c>
    </row>
    <row r="54" spans="1:7" x14ac:dyDescent="0.3">
      <c r="B54" s="147" t="s">
        <v>513</v>
      </c>
      <c r="C54" s="151">
        <v>0.97912149999999998</v>
      </c>
      <c r="D54" s="151">
        <v>0.56999999999999995</v>
      </c>
      <c r="E54" s="151">
        <v>0.91036249999999996</v>
      </c>
      <c r="F54" s="151">
        <v>1.0530740000000001</v>
      </c>
    </row>
    <row r="55" spans="1:7" x14ac:dyDescent="0.3">
      <c r="B55" s="158" t="s">
        <v>17</v>
      </c>
      <c r="C55" s="155">
        <v>0.68431799999999998</v>
      </c>
      <c r="D55" s="155">
        <v>0.01</v>
      </c>
      <c r="E55" s="155">
        <v>0.51350269999999998</v>
      </c>
      <c r="F55" s="155">
        <v>0.91195459999999995</v>
      </c>
      <c r="G55" s="146" t="s">
        <v>524</v>
      </c>
    </row>
    <row r="58" spans="1:7" x14ac:dyDescent="0.3">
      <c r="A58" s="134" t="s">
        <v>516</v>
      </c>
    </row>
    <row r="59" spans="1:7" x14ac:dyDescent="0.3">
      <c r="B59" s="160" t="s">
        <v>521</v>
      </c>
      <c r="C59" s="144" t="s">
        <v>514</v>
      </c>
      <c r="D59" s="139" t="s">
        <v>486</v>
      </c>
      <c r="E59" s="144" t="s">
        <v>506</v>
      </c>
      <c r="F59" s="144" t="s">
        <v>507</v>
      </c>
    </row>
    <row r="60" spans="1:7" x14ac:dyDescent="0.3">
      <c r="B60" s="153" t="s">
        <v>460</v>
      </c>
    </row>
    <row r="61" spans="1:7" x14ac:dyDescent="0.3">
      <c r="B61" s="153">
        <v>2</v>
      </c>
      <c r="C61" s="151">
        <v>0.51313750000000002</v>
      </c>
      <c r="D61" s="151">
        <v>0.38</v>
      </c>
      <c r="E61" s="151">
        <v>0.1155336</v>
      </c>
      <c r="F61" s="151">
        <v>2.2790780000000002</v>
      </c>
      <c r="G61" s="146" t="s">
        <v>519</v>
      </c>
    </row>
    <row r="62" spans="1:7" x14ac:dyDescent="0.3">
      <c r="B62" s="153">
        <v>3</v>
      </c>
      <c r="C62" s="151">
        <v>0.4885524</v>
      </c>
      <c r="D62" s="151">
        <v>0.40200000000000002</v>
      </c>
      <c r="E62" s="151">
        <v>9.1441599999999998E-2</v>
      </c>
      <c r="F62" s="151">
        <v>2.6102270000000001</v>
      </c>
    </row>
    <row r="63" spans="1:7" x14ac:dyDescent="0.3">
      <c r="B63" s="153">
        <v>4</v>
      </c>
      <c r="C63" s="151">
        <v>0.2490242</v>
      </c>
      <c r="D63" s="151">
        <v>9.2999999999999999E-2</v>
      </c>
      <c r="E63" s="151">
        <v>4.9261800000000001E-2</v>
      </c>
      <c r="F63" s="151">
        <v>1.258847</v>
      </c>
    </row>
    <row r="64" spans="1:7" x14ac:dyDescent="0.3">
      <c r="B64" s="153">
        <v>5</v>
      </c>
      <c r="C64" s="151">
        <v>0.65085320000000002</v>
      </c>
      <c r="D64" s="151">
        <v>0.60599999999999998</v>
      </c>
      <c r="E64" s="151">
        <v>0.12750900000000001</v>
      </c>
      <c r="F64" s="151">
        <v>3.3221959999999999</v>
      </c>
    </row>
    <row r="65" spans="2:7" x14ac:dyDescent="0.3">
      <c r="B65" s="147" t="s">
        <v>508</v>
      </c>
      <c r="C65" s="151">
        <v>1.002181</v>
      </c>
      <c r="D65" s="151">
        <v>7.3999999999999996E-2</v>
      </c>
      <c r="E65" s="151">
        <v>0.99978670000000003</v>
      </c>
      <c r="F65" s="151">
        <v>1.0045809999999999</v>
      </c>
    </row>
    <row r="66" spans="2:7" x14ac:dyDescent="0.3">
      <c r="B66" s="147" t="s">
        <v>509</v>
      </c>
      <c r="C66" s="151">
        <v>0.79417170000000004</v>
      </c>
      <c r="D66" s="151">
        <v>0.53100000000000003</v>
      </c>
      <c r="E66" s="151">
        <v>0.38598959999999999</v>
      </c>
      <c r="F66" s="151">
        <v>1.6340049999999999</v>
      </c>
    </row>
    <row r="67" spans="2:7" x14ac:dyDescent="0.3">
      <c r="B67" s="147" t="s">
        <v>510</v>
      </c>
      <c r="C67" s="151">
        <v>1.0938829999999999</v>
      </c>
      <c r="D67" s="151">
        <v>0.88700000000000001</v>
      </c>
      <c r="E67" s="151">
        <v>0.3184864</v>
      </c>
      <c r="F67" s="151">
        <v>3.7570869999999998</v>
      </c>
    </row>
    <row r="68" spans="2:7" x14ac:dyDescent="0.3">
      <c r="B68" s="147" t="s">
        <v>511</v>
      </c>
      <c r="C68" s="151">
        <v>0.94045670000000003</v>
      </c>
      <c r="D68" s="151">
        <v>0.71599999999999997</v>
      </c>
      <c r="E68" s="151">
        <v>0.67534780000000005</v>
      </c>
      <c r="F68" s="151">
        <v>1.309634</v>
      </c>
    </row>
    <row r="69" spans="2:7" x14ac:dyDescent="0.3">
      <c r="B69" s="147" t="s">
        <v>512</v>
      </c>
      <c r="C69" s="151">
        <v>0.99369050000000003</v>
      </c>
      <c r="D69" s="151">
        <v>0.85899999999999999</v>
      </c>
      <c r="E69" s="151">
        <v>0.9265738</v>
      </c>
      <c r="F69" s="151">
        <v>1.065669</v>
      </c>
    </row>
    <row r="70" spans="2:7" x14ac:dyDescent="0.3">
      <c r="B70" s="147" t="s">
        <v>513</v>
      </c>
      <c r="C70" s="151">
        <v>0.96031</v>
      </c>
      <c r="D70" s="151">
        <v>0.34300000000000003</v>
      </c>
      <c r="E70" s="151">
        <v>0.88325549999999997</v>
      </c>
      <c r="F70" s="151">
        <v>1.044087</v>
      </c>
    </row>
    <row r="71" spans="2:7" x14ac:dyDescent="0.3">
      <c r="B71" s="150" t="s">
        <v>17</v>
      </c>
      <c r="C71" s="154">
        <v>1.1735340000000001</v>
      </c>
      <c r="D71" s="154">
        <v>0.34799999999999998</v>
      </c>
      <c r="E71" s="154">
        <v>0.84034339999999996</v>
      </c>
      <c r="F71" s="154">
        <v>1.6388309999999999</v>
      </c>
    </row>
    <row r="73" spans="2:7" x14ac:dyDescent="0.3">
      <c r="E73"/>
    </row>
    <row r="75" spans="2:7" x14ac:dyDescent="0.3">
      <c r="B75" s="160" t="s">
        <v>520</v>
      </c>
      <c r="C75" s="144" t="s">
        <v>514</v>
      </c>
      <c r="D75" s="139" t="s">
        <v>486</v>
      </c>
      <c r="E75" s="144" t="s">
        <v>506</v>
      </c>
      <c r="F75" s="144" t="s">
        <v>507</v>
      </c>
    </row>
    <row r="76" spans="2:7" x14ac:dyDescent="0.3">
      <c r="B76" s="153" t="s">
        <v>460</v>
      </c>
    </row>
    <row r="77" spans="2:7" x14ac:dyDescent="0.3">
      <c r="B77" s="153">
        <v>2</v>
      </c>
      <c r="C77" s="159">
        <v>1.3910549999999999</v>
      </c>
      <c r="D77" s="159">
        <v>0.68799999999999994</v>
      </c>
      <c r="E77" s="159">
        <v>0.27739740000000002</v>
      </c>
      <c r="F77" s="159">
        <v>6.9756790000000004</v>
      </c>
      <c r="G77" s="146" t="s">
        <v>518</v>
      </c>
    </row>
    <row r="78" spans="2:7" x14ac:dyDescent="0.3">
      <c r="B78" s="153">
        <v>3</v>
      </c>
      <c r="C78" s="151">
        <v>1.1953279999999999</v>
      </c>
      <c r="D78" s="151">
        <v>0.84699999999999998</v>
      </c>
      <c r="E78" s="151">
        <v>0.19510359999999999</v>
      </c>
      <c r="F78" s="151">
        <v>7.3233410000000001</v>
      </c>
    </row>
    <row r="79" spans="2:7" x14ac:dyDescent="0.3">
      <c r="B79" s="153">
        <v>4</v>
      </c>
      <c r="C79" s="151">
        <v>0.77602839999999995</v>
      </c>
      <c r="D79" s="151">
        <v>0.77200000000000002</v>
      </c>
      <c r="E79" s="151">
        <v>0.13992360000000001</v>
      </c>
      <c r="F79" s="151">
        <v>4.3039199999999997</v>
      </c>
    </row>
    <row r="80" spans="2:7" x14ac:dyDescent="0.3">
      <c r="B80" s="153">
        <v>5</v>
      </c>
      <c r="C80" s="151">
        <v>1.3295380000000001</v>
      </c>
      <c r="D80" s="151">
        <v>0.747</v>
      </c>
      <c r="E80" s="151">
        <v>0.23629120000000001</v>
      </c>
      <c r="F80" s="151">
        <v>7.4809070000000002</v>
      </c>
    </row>
    <row r="81" spans="2:7" x14ac:dyDescent="0.3">
      <c r="B81" s="157" t="s">
        <v>508</v>
      </c>
      <c r="C81" s="156">
        <v>1.002721</v>
      </c>
      <c r="D81" s="156">
        <v>3.2000000000000001E-2</v>
      </c>
      <c r="E81" s="156">
        <v>1.0002359999999999</v>
      </c>
      <c r="F81" s="156">
        <v>1.005212</v>
      </c>
      <c r="G81" s="146" t="s">
        <v>522</v>
      </c>
    </row>
    <row r="82" spans="2:7" x14ac:dyDescent="0.3">
      <c r="B82" s="147" t="s">
        <v>509</v>
      </c>
      <c r="C82" s="151">
        <v>0.80727389999999999</v>
      </c>
      <c r="D82" s="151">
        <v>0.56000000000000005</v>
      </c>
      <c r="E82" s="151">
        <v>0.39292500000000002</v>
      </c>
      <c r="F82" s="151">
        <v>1.6585639999999999</v>
      </c>
    </row>
    <row r="83" spans="2:7" x14ac:dyDescent="0.3">
      <c r="B83" s="147" t="s">
        <v>510</v>
      </c>
      <c r="C83" s="151">
        <v>1.529536</v>
      </c>
      <c r="D83" s="151">
        <v>0.499</v>
      </c>
      <c r="E83" s="151">
        <v>0.44588420000000001</v>
      </c>
      <c r="F83" s="151">
        <v>5.2468370000000002</v>
      </c>
    </row>
    <row r="84" spans="2:7" x14ac:dyDescent="0.3">
      <c r="B84" s="147" t="s">
        <v>511</v>
      </c>
      <c r="C84" s="151">
        <v>0.72136540000000005</v>
      </c>
      <c r="D84" s="151">
        <v>6.4000000000000001E-2</v>
      </c>
      <c r="E84" s="151">
        <v>0.51045859999999998</v>
      </c>
      <c r="F84" s="151">
        <v>1.0194129999999999</v>
      </c>
    </row>
    <row r="85" spans="2:7" x14ac:dyDescent="0.3">
      <c r="B85" s="147" t="s">
        <v>512</v>
      </c>
      <c r="C85" s="151">
        <v>0.98413879999999998</v>
      </c>
      <c r="D85" s="151">
        <v>0.66300000000000003</v>
      </c>
      <c r="E85" s="151">
        <v>0.9158946</v>
      </c>
      <c r="F85" s="151">
        <v>1.0574680000000001</v>
      </c>
    </row>
    <row r="86" spans="2:7" x14ac:dyDescent="0.3">
      <c r="B86" s="147" t="s">
        <v>513</v>
      </c>
      <c r="C86" s="151">
        <v>0.97513839999999996</v>
      </c>
      <c r="D86" s="151">
        <v>0.55900000000000005</v>
      </c>
      <c r="E86" s="151">
        <v>0.89609260000000002</v>
      </c>
      <c r="F86" s="151">
        <v>1.0611569999999999</v>
      </c>
    </row>
    <row r="87" spans="2:7" x14ac:dyDescent="0.3">
      <c r="B87" s="150" t="s">
        <v>17</v>
      </c>
      <c r="C87" s="154">
        <v>1.2914159999999999</v>
      </c>
      <c r="D87" s="154">
        <v>0.14599999999999999</v>
      </c>
      <c r="E87" s="154">
        <v>0.91464679999999998</v>
      </c>
      <c r="F87" s="154">
        <v>1.823388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6"/>
  <sheetViews>
    <sheetView workbookViewId="0">
      <selection activeCell="F7" sqref="F7"/>
    </sheetView>
  </sheetViews>
  <sheetFormatPr defaultRowHeight="14.4" x14ac:dyDescent="0.3"/>
  <cols>
    <col min="1" max="1" width="19.44140625" customWidth="1"/>
    <col min="2" max="2" width="33.77734375" customWidth="1"/>
    <col min="3" max="8" width="13.5546875" customWidth="1"/>
  </cols>
  <sheetData>
    <row r="1" spans="1:6" x14ac:dyDescent="0.3">
      <c r="A1" s="137" t="s">
        <v>586</v>
      </c>
    </row>
    <row r="2" spans="1:6" x14ac:dyDescent="0.3">
      <c r="A2" s="135" t="s">
        <v>504</v>
      </c>
      <c r="B2" s="163"/>
      <c r="C2" s="164" t="s">
        <v>420</v>
      </c>
      <c r="D2" s="164" t="s">
        <v>409</v>
      </c>
      <c r="E2" s="164" t="s">
        <v>431</v>
      </c>
    </row>
    <row r="3" spans="1:6" x14ac:dyDescent="0.3">
      <c r="B3" t="s">
        <v>430</v>
      </c>
      <c r="C3" s="143" t="s">
        <v>528</v>
      </c>
      <c r="D3" s="143" t="s">
        <v>529</v>
      </c>
      <c r="E3" s="156">
        <v>5.3739884607094E-3</v>
      </c>
      <c r="F3" s="146" t="s">
        <v>598</v>
      </c>
    </row>
    <row r="4" spans="1:6" x14ac:dyDescent="0.3">
      <c r="B4" t="s">
        <v>422</v>
      </c>
      <c r="C4" s="143" t="s">
        <v>530</v>
      </c>
      <c r="D4" s="143" t="s">
        <v>531</v>
      </c>
      <c r="E4" s="156">
        <v>1.1427089875480001E-3</v>
      </c>
      <c r="F4" s="146" t="s">
        <v>597</v>
      </c>
    </row>
    <row r="5" spans="1:6" x14ac:dyDescent="0.3">
      <c r="B5" t="s">
        <v>423</v>
      </c>
      <c r="C5" s="143" t="s">
        <v>532</v>
      </c>
      <c r="D5" s="143" t="s">
        <v>533</v>
      </c>
      <c r="E5" s="156">
        <v>3.2233475857621499E-2</v>
      </c>
      <c r="F5" s="146" t="s">
        <v>599</v>
      </c>
    </row>
    <row r="6" spans="1:6" x14ac:dyDescent="0.3">
      <c r="B6" t="s">
        <v>434</v>
      </c>
      <c r="C6" s="143" t="s">
        <v>534</v>
      </c>
      <c r="D6" s="143" t="s">
        <v>535</v>
      </c>
      <c r="E6" s="151">
        <v>0.46556320457571088</v>
      </c>
    </row>
    <row r="7" spans="1:6" x14ac:dyDescent="0.3">
      <c r="B7" t="s">
        <v>536</v>
      </c>
      <c r="C7" s="143" t="s">
        <v>537</v>
      </c>
      <c r="D7" s="143" t="s">
        <v>538</v>
      </c>
      <c r="E7" s="156">
        <v>1.4326770062959401E-2</v>
      </c>
      <c r="F7" s="146" t="s">
        <v>600</v>
      </c>
    </row>
    <row r="8" spans="1:6" x14ac:dyDescent="0.3">
      <c r="B8" t="s">
        <v>539</v>
      </c>
      <c r="C8" s="143" t="s">
        <v>540</v>
      </c>
      <c r="D8" s="143" t="s">
        <v>541</v>
      </c>
      <c r="E8" s="151">
        <v>8.2176837471920505E-2</v>
      </c>
    </row>
    <row r="9" spans="1:6" x14ac:dyDescent="0.3">
      <c r="B9" s="138" t="s">
        <v>426</v>
      </c>
      <c r="C9" s="144" t="s">
        <v>542</v>
      </c>
      <c r="D9" s="144" t="s">
        <v>543</v>
      </c>
      <c r="E9" s="154">
        <v>0.35237916430912258</v>
      </c>
    </row>
    <row r="10" spans="1:6" x14ac:dyDescent="0.3">
      <c r="B10" t="s">
        <v>427</v>
      </c>
    </row>
    <row r="13" spans="1:6" x14ac:dyDescent="0.3">
      <c r="B13" s="165" t="s">
        <v>458</v>
      </c>
    </row>
    <row r="14" spans="1:6" x14ac:dyDescent="0.3">
      <c r="B14" s="153" t="s">
        <v>452</v>
      </c>
    </row>
    <row r="15" spans="1:6" x14ac:dyDescent="0.3">
      <c r="B15" s="153" t="s">
        <v>450</v>
      </c>
      <c r="C15" s="151">
        <v>-0.93402091926812736</v>
      </c>
    </row>
    <row r="16" spans="1:6" x14ac:dyDescent="0.3">
      <c r="B16" s="153" t="s">
        <v>451</v>
      </c>
      <c r="C16" s="151">
        <v>0.35029310222012805</v>
      </c>
      <c r="D16" s="146" t="s">
        <v>587</v>
      </c>
    </row>
    <row r="19" spans="2:4" x14ac:dyDescent="0.3">
      <c r="B19" s="171" t="s">
        <v>652</v>
      </c>
    </row>
    <row r="20" spans="2:4" x14ac:dyDescent="0.3">
      <c r="B20" s="153" t="s">
        <v>455</v>
      </c>
    </row>
    <row r="21" spans="2:4" x14ac:dyDescent="0.3">
      <c r="B21" s="153" t="s">
        <v>456</v>
      </c>
      <c r="C21" s="151">
        <v>0.1913282641851819</v>
      </c>
    </row>
    <row r="22" spans="2:4" x14ac:dyDescent="0.3">
      <c r="B22" s="153" t="s">
        <v>451</v>
      </c>
      <c r="C22" s="151">
        <v>0.11237984962840368</v>
      </c>
      <c r="D22" s="146" t="s">
        <v>588</v>
      </c>
    </row>
    <row r="25" spans="2:4" x14ac:dyDescent="0.3">
      <c r="B25" s="171" t="s">
        <v>653</v>
      </c>
    </row>
    <row r="26" spans="2:4" x14ac:dyDescent="0.3">
      <c r="B26" t="s">
        <v>455</v>
      </c>
    </row>
    <row r="27" spans="2:4" x14ac:dyDescent="0.3">
      <c r="B27" s="153" t="s">
        <v>456</v>
      </c>
      <c r="C27" s="151">
        <v>0.2794489045787843</v>
      </c>
    </row>
    <row r="28" spans="2:4" x14ac:dyDescent="0.3">
      <c r="B28" s="153" t="s">
        <v>451</v>
      </c>
      <c r="C28" s="156">
        <v>1.9428557101491044E-2</v>
      </c>
      <c r="D28" s="146" t="s">
        <v>654</v>
      </c>
    </row>
    <row r="31" spans="2:4" x14ac:dyDescent="0.3">
      <c r="B31" t="s">
        <v>488</v>
      </c>
    </row>
    <row r="33" spans="2:8" x14ac:dyDescent="0.3">
      <c r="B33" s="143" t="s">
        <v>489</v>
      </c>
      <c r="C33" s="144" t="s">
        <v>485</v>
      </c>
      <c r="D33" s="144">
        <v>3</v>
      </c>
      <c r="E33" s="144">
        <v>4</v>
      </c>
      <c r="F33" s="144">
        <v>5</v>
      </c>
      <c r="G33" s="144" t="s">
        <v>459</v>
      </c>
    </row>
    <row r="34" spans="2:8" x14ac:dyDescent="0.3">
      <c r="B34" s="143"/>
      <c r="C34" s="143">
        <v>1</v>
      </c>
      <c r="D34" s="143" t="s">
        <v>544</v>
      </c>
      <c r="E34" s="143" t="s">
        <v>545</v>
      </c>
      <c r="F34" s="143" t="s">
        <v>546</v>
      </c>
      <c r="G34" s="143" t="s">
        <v>547</v>
      </c>
    </row>
    <row r="35" spans="2:8" x14ac:dyDescent="0.3">
      <c r="B35" s="143"/>
      <c r="C35" s="143">
        <v>2</v>
      </c>
      <c r="D35" s="143" t="s">
        <v>548</v>
      </c>
      <c r="E35" s="143" t="s">
        <v>548</v>
      </c>
      <c r="F35" s="143" t="s">
        <v>549</v>
      </c>
      <c r="G35" s="143" t="s">
        <v>550</v>
      </c>
    </row>
    <row r="36" spans="2:8" x14ac:dyDescent="0.3">
      <c r="B36" s="143"/>
      <c r="C36" s="143">
        <v>3</v>
      </c>
      <c r="D36" s="143" t="s">
        <v>551</v>
      </c>
      <c r="E36" s="143" t="s">
        <v>552</v>
      </c>
      <c r="F36" s="143" t="s">
        <v>553</v>
      </c>
      <c r="G36" s="143" t="s">
        <v>554</v>
      </c>
    </row>
    <row r="37" spans="2:8" x14ac:dyDescent="0.3">
      <c r="B37" s="143"/>
      <c r="C37" s="143">
        <v>4</v>
      </c>
      <c r="D37" s="143" t="s">
        <v>555</v>
      </c>
      <c r="E37" s="143" t="s">
        <v>556</v>
      </c>
      <c r="F37" s="143" t="s">
        <v>556</v>
      </c>
      <c r="G37" s="143" t="s">
        <v>557</v>
      </c>
    </row>
    <row r="38" spans="2:8" x14ac:dyDescent="0.3">
      <c r="B38" s="143"/>
      <c r="C38" s="143">
        <v>5</v>
      </c>
      <c r="D38" s="143" t="s">
        <v>558</v>
      </c>
      <c r="E38" s="143" t="s">
        <v>558</v>
      </c>
      <c r="F38" s="143" t="s">
        <v>559</v>
      </c>
      <c r="G38" s="143" t="s">
        <v>560</v>
      </c>
    </row>
    <row r="39" spans="2:8" x14ac:dyDescent="0.3">
      <c r="B39" s="143"/>
      <c r="C39" s="144" t="s">
        <v>459</v>
      </c>
      <c r="D39" s="144" t="s">
        <v>561</v>
      </c>
      <c r="E39" s="144" t="s">
        <v>562</v>
      </c>
      <c r="F39" s="144" t="s">
        <v>563</v>
      </c>
      <c r="G39" s="144" t="s">
        <v>564</v>
      </c>
    </row>
    <row r="40" spans="2:8" x14ac:dyDescent="0.3">
      <c r="B40" s="143"/>
      <c r="C40" s="143" t="s">
        <v>486</v>
      </c>
      <c r="D40" s="151">
        <v>0.49135852963724491</v>
      </c>
      <c r="E40" s="152" t="s">
        <v>487</v>
      </c>
    </row>
    <row r="41" spans="2:8" x14ac:dyDescent="0.3">
      <c r="B41" s="143"/>
    </row>
    <row r="42" spans="2:8" x14ac:dyDescent="0.3">
      <c r="B42" s="143" t="s">
        <v>490</v>
      </c>
      <c r="C42" s="144" t="s">
        <v>485</v>
      </c>
      <c r="D42" s="144">
        <v>2</v>
      </c>
      <c r="E42" s="144">
        <v>3</v>
      </c>
      <c r="F42" s="144">
        <v>4</v>
      </c>
      <c r="G42" s="144">
        <v>5</v>
      </c>
      <c r="H42" s="144" t="s">
        <v>459</v>
      </c>
    </row>
    <row r="43" spans="2:8" x14ac:dyDescent="0.3">
      <c r="C43" s="143">
        <v>1</v>
      </c>
      <c r="D43" s="143" t="s">
        <v>545</v>
      </c>
      <c r="E43" s="143" t="s">
        <v>565</v>
      </c>
      <c r="F43" s="143" t="s">
        <v>546</v>
      </c>
      <c r="G43" s="143" t="s">
        <v>546</v>
      </c>
      <c r="H43" s="143" t="s">
        <v>547</v>
      </c>
    </row>
    <row r="44" spans="2:8" x14ac:dyDescent="0.3">
      <c r="C44" s="143">
        <v>2</v>
      </c>
      <c r="D44" s="143" t="s">
        <v>549</v>
      </c>
      <c r="E44" s="143" t="s">
        <v>566</v>
      </c>
      <c r="F44" s="143" t="s">
        <v>567</v>
      </c>
      <c r="G44" s="143" t="s">
        <v>549</v>
      </c>
      <c r="H44" s="143" t="s">
        <v>550</v>
      </c>
    </row>
    <row r="45" spans="2:8" x14ac:dyDescent="0.3">
      <c r="C45" s="143">
        <v>3</v>
      </c>
      <c r="D45" s="143" t="s">
        <v>568</v>
      </c>
      <c r="E45" s="143" t="s">
        <v>569</v>
      </c>
      <c r="F45" s="143" t="s">
        <v>551</v>
      </c>
      <c r="G45" s="143" t="s">
        <v>553</v>
      </c>
      <c r="H45" s="143" t="s">
        <v>554</v>
      </c>
    </row>
    <row r="46" spans="2:8" x14ac:dyDescent="0.3">
      <c r="C46" s="143">
        <v>4</v>
      </c>
      <c r="D46" s="143" t="s">
        <v>570</v>
      </c>
      <c r="E46" s="143" t="s">
        <v>571</v>
      </c>
      <c r="F46" s="143" t="s">
        <v>572</v>
      </c>
      <c r="G46" s="143" t="s">
        <v>573</v>
      </c>
      <c r="H46" s="143" t="s">
        <v>557</v>
      </c>
    </row>
    <row r="47" spans="2:8" x14ac:dyDescent="0.3">
      <c r="C47" s="143">
        <v>5</v>
      </c>
      <c r="D47" s="143" t="s">
        <v>545</v>
      </c>
      <c r="E47" s="143" t="s">
        <v>574</v>
      </c>
      <c r="F47" s="143" t="s">
        <v>574</v>
      </c>
      <c r="G47" s="143" t="s">
        <v>575</v>
      </c>
      <c r="H47" s="143" t="s">
        <v>560</v>
      </c>
    </row>
    <row r="48" spans="2:8" x14ac:dyDescent="0.3">
      <c r="C48" s="144" t="s">
        <v>459</v>
      </c>
      <c r="D48" s="144" t="s">
        <v>576</v>
      </c>
      <c r="E48" s="144" t="s">
        <v>577</v>
      </c>
      <c r="F48" s="144" t="s">
        <v>578</v>
      </c>
      <c r="G48" s="144" t="s">
        <v>562</v>
      </c>
      <c r="H48" s="144" t="s">
        <v>564</v>
      </c>
    </row>
    <row r="49" spans="1:7" x14ac:dyDescent="0.3">
      <c r="C49" s="143" t="s">
        <v>486</v>
      </c>
      <c r="D49" s="151">
        <v>0.33582931425468721</v>
      </c>
      <c r="E49" s="152" t="s">
        <v>487</v>
      </c>
    </row>
    <row r="52" spans="1:7" x14ac:dyDescent="0.3">
      <c r="A52" s="135" t="s">
        <v>505</v>
      </c>
    </row>
    <row r="54" spans="1:7" x14ac:dyDescent="0.3">
      <c r="A54" t="s">
        <v>515</v>
      </c>
    </row>
    <row r="55" spans="1:7" x14ac:dyDescent="0.3">
      <c r="B55" s="164"/>
      <c r="C55" s="164" t="s">
        <v>514</v>
      </c>
      <c r="D55" s="164" t="s">
        <v>486</v>
      </c>
      <c r="E55" s="167" t="s">
        <v>506</v>
      </c>
      <c r="F55" s="163" t="s">
        <v>507</v>
      </c>
    </row>
    <row r="56" spans="1:7" x14ac:dyDescent="0.3">
      <c r="B56" s="153" t="s">
        <v>579</v>
      </c>
      <c r="C56" s="151">
        <v>0.65669677722108522</v>
      </c>
      <c r="D56" s="151">
        <v>0.65858994935474868</v>
      </c>
      <c r="E56" s="151">
        <v>0.1016832542849643</v>
      </c>
      <c r="F56" s="151">
        <v>4.2411177754401193</v>
      </c>
      <c r="G56" s="146" t="s">
        <v>517</v>
      </c>
    </row>
    <row r="57" spans="1:7" x14ac:dyDescent="0.3">
      <c r="B57" s="153" t="s">
        <v>580</v>
      </c>
      <c r="C57" s="151">
        <v>0.8135813792981571</v>
      </c>
      <c r="D57" s="151">
        <v>0.82325075210468346</v>
      </c>
      <c r="E57" s="151">
        <v>0.13310627396022351</v>
      </c>
      <c r="F57" s="151">
        <v>4.9728284103159064</v>
      </c>
    </row>
    <row r="58" spans="1:7" x14ac:dyDescent="0.3">
      <c r="B58" s="153" t="s">
        <v>581</v>
      </c>
      <c r="C58" s="151">
        <v>1.160260812792713</v>
      </c>
      <c r="D58" s="151">
        <v>0.87760770455941284</v>
      </c>
      <c r="E58" s="151">
        <v>0.17497154474264209</v>
      </c>
      <c r="F58" s="151">
        <v>7.6938519099347227</v>
      </c>
    </row>
    <row r="59" spans="1:7" x14ac:dyDescent="0.3">
      <c r="B59" s="153" t="s">
        <v>582</v>
      </c>
      <c r="C59" s="151">
        <v>0.87038823587256375</v>
      </c>
      <c r="D59" s="151">
        <v>0.89094269885482791</v>
      </c>
      <c r="E59" s="151">
        <v>0.1196547610255693</v>
      </c>
      <c r="F59" s="151">
        <v>6.3313459042675753</v>
      </c>
    </row>
    <row r="60" spans="1:7" x14ac:dyDescent="0.3">
      <c r="B60" s="153" t="s">
        <v>508</v>
      </c>
      <c r="C60" s="151">
        <v>1.008473458918695</v>
      </c>
      <c r="D60" s="151">
        <v>0.1606742381468195</v>
      </c>
      <c r="E60" s="151">
        <v>0.99665436344780678</v>
      </c>
      <c r="F60" s="151">
        <v>1.0204327143315579</v>
      </c>
    </row>
    <row r="61" spans="1:7" x14ac:dyDescent="0.3">
      <c r="B61" s="153" t="s">
        <v>583</v>
      </c>
      <c r="C61" s="151">
        <v>3.0467743230816602</v>
      </c>
      <c r="D61" s="151">
        <v>6.1405235352463103E-2</v>
      </c>
      <c r="E61" s="151">
        <v>0.94814854371235979</v>
      </c>
      <c r="F61" s="151">
        <v>9.7904846633460085</v>
      </c>
    </row>
    <row r="62" spans="1:7" x14ac:dyDescent="0.3">
      <c r="B62" s="153" t="s">
        <v>510</v>
      </c>
      <c r="C62" s="151">
        <v>0.73288219736352578</v>
      </c>
      <c r="D62" s="151">
        <v>0.53357116732563181</v>
      </c>
      <c r="E62" s="151">
        <v>0.27550718074555702</v>
      </c>
      <c r="F62" s="151">
        <v>1.9495546858665751</v>
      </c>
    </row>
    <row r="63" spans="1:7" x14ac:dyDescent="0.3">
      <c r="B63" s="153" t="s">
        <v>511</v>
      </c>
      <c r="C63" s="151">
        <v>1.008821640739354</v>
      </c>
      <c r="D63" s="151">
        <v>0.75496614291865194</v>
      </c>
      <c r="E63" s="151">
        <v>0.95468511523958099</v>
      </c>
      <c r="F63" s="151">
        <v>1.066028040636877</v>
      </c>
    </row>
    <row r="64" spans="1:7" x14ac:dyDescent="0.3">
      <c r="B64" s="153" t="s">
        <v>584</v>
      </c>
      <c r="C64" s="151">
        <v>0.98516923395719835</v>
      </c>
      <c r="D64" s="151">
        <v>0.26480752575958222</v>
      </c>
      <c r="E64" s="151">
        <v>0.95963288412274994</v>
      </c>
      <c r="F64" s="151">
        <v>1.0113851198659689</v>
      </c>
    </row>
    <row r="65" spans="1:7" x14ac:dyDescent="0.3">
      <c r="B65" s="153" t="s">
        <v>585</v>
      </c>
      <c r="C65" s="151">
        <v>0.99060076634384187</v>
      </c>
      <c r="D65" s="151">
        <v>0.57226479936020891</v>
      </c>
      <c r="E65" s="151">
        <v>0.9586590732530792</v>
      </c>
      <c r="F65" s="151">
        <v>1.023606729085798</v>
      </c>
    </row>
    <row r="66" spans="1:7" x14ac:dyDescent="0.3">
      <c r="B66" s="166" t="s">
        <v>17</v>
      </c>
      <c r="C66" s="154">
        <v>0.9976916761616107</v>
      </c>
      <c r="D66" s="154">
        <v>0.9657508982176356</v>
      </c>
      <c r="E66" s="154">
        <v>0.8978078397915058</v>
      </c>
      <c r="F66" s="154">
        <v>1.1086878912900999</v>
      </c>
    </row>
    <row r="67" spans="1:7" x14ac:dyDescent="0.3">
      <c r="C67" s="151"/>
      <c r="D67" s="151"/>
      <c r="E67" s="151"/>
      <c r="F67" s="151"/>
    </row>
    <row r="68" spans="1:7" x14ac:dyDescent="0.3">
      <c r="C68" s="151"/>
      <c r="D68" s="151"/>
      <c r="E68" s="151"/>
      <c r="F68" s="151"/>
    </row>
    <row r="69" spans="1:7" x14ac:dyDescent="0.3">
      <c r="A69" s="165" t="s">
        <v>589</v>
      </c>
      <c r="C69" s="151"/>
      <c r="D69" s="151"/>
      <c r="E69" s="151"/>
      <c r="F69" s="151"/>
    </row>
    <row r="70" spans="1:7" x14ac:dyDescent="0.3">
      <c r="B70" s="163"/>
      <c r="C70" s="168" t="s">
        <v>514</v>
      </c>
      <c r="D70" s="168" t="s">
        <v>486</v>
      </c>
      <c r="E70" s="172" t="s">
        <v>506</v>
      </c>
      <c r="F70" s="173" t="s">
        <v>507</v>
      </c>
    </row>
    <row r="71" spans="1:7" x14ac:dyDescent="0.3">
      <c r="B71" s="153" t="s">
        <v>579</v>
      </c>
      <c r="C71" s="151">
        <v>5.7943751603814801</v>
      </c>
      <c r="D71" s="151">
        <v>0.2197719296380162</v>
      </c>
      <c r="E71" s="151">
        <v>0.35022103446024883</v>
      </c>
      <c r="F71" s="151">
        <v>95.867409994349543</v>
      </c>
      <c r="G71" s="146" t="s">
        <v>519</v>
      </c>
    </row>
    <row r="72" spans="1:7" x14ac:dyDescent="0.3">
      <c r="B72" s="153" t="s">
        <v>580</v>
      </c>
      <c r="C72" s="151">
        <v>7.4924654839161686</v>
      </c>
      <c r="D72" s="151">
        <v>0.14483322948970931</v>
      </c>
      <c r="E72" s="151">
        <v>0.4999232570385212</v>
      </c>
      <c r="F72" s="151">
        <v>112.2913131911956</v>
      </c>
    </row>
    <row r="73" spans="1:7" x14ac:dyDescent="0.3">
      <c r="B73" s="153" t="s">
        <v>581</v>
      </c>
      <c r="C73" s="151">
        <v>5.3587735763646194</v>
      </c>
      <c r="D73" s="151">
        <v>0.2205476797709518</v>
      </c>
      <c r="E73" s="151">
        <v>0.36530178425652571</v>
      </c>
      <c r="F73" s="151">
        <v>78.610221686128185</v>
      </c>
    </row>
    <row r="74" spans="1:7" x14ac:dyDescent="0.3">
      <c r="B74" s="153" t="s">
        <v>582</v>
      </c>
      <c r="C74" s="151">
        <v>15.42062220270509</v>
      </c>
      <c r="D74" s="151">
        <v>6.2186611767807397E-2</v>
      </c>
      <c r="E74" s="151">
        <v>0.86991763600455452</v>
      </c>
      <c r="F74" s="151">
        <v>273.35414213549308</v>
      </c>
    </row>
    <row r="75" spans="1:7" x14ac:dyDescent="0.3">
      <c r="B75" s="169" t="s">
        <v>508</v>
      </c>
      <c r="C75" s="156">
        <v>1.0151793259219239</v>
      </c>
      <c r="D75" s="156">
        <v>2.0975957308791999E-3</v>
      </c>
      <c r="E75" s="156">
        <v>1.0054811270014881</v>
      </c>
      <c r="F75" s="156">
        <v>1.024971067187189</v>
      </c>
      <c r="G75" s="146" t="s">
        <v>593</v>
      </c>
    </row>
    <row r="76" spans="1:7" x14ac:dyDescent="0.3">
      <c r="B76" s="153" t="s">
        <v>583</v>
      </c>
      <c r="C76" s="151">
        <v>2.0609063032048471</v>
      </c>
      <c r="D76" s="151">
        <v>0.20424022825879409</v>
      </c>
      <c r="E76" s="151">
        <v>0.67485756006472386</v>
      </c>
      <c r="F76" s="151">
        <v>6.2936759427902347</v>
      </c>
    </row>
    <row r="77" spans="1:7" x14ac:dyDescent="0.3">
      <c r="B77" s="169" t="s">
        <v>510</v>
      </c>
      <c r="C77" s="156">
        <v>0.24744484062267161</v>
      </c>
      <c r="D77" s="156">
        <v>3.0305810508384601E-2</v>
      </c>
      <c r="E77" s="156">
        <v>6.9930828780436202E-2</v>
      </c>
      <c r="F77" s="156">
        <v>0.87556447161553852</v>
      </c>
      <c r="G77" s="146" t="s">
        <v>591</v>
      </c>
    </row>
    <row r="78" spans="1:7" x14ac:dyDescent="0.3">
      <c r="B78" s="153" t="s">
        <v>511</v>
      </c>
      <c r="C78" s="151">
        <v>0.9881136172497812</v>
      </c>
      <c r="D78" s="151">
        <v>0.65986195309881124</v>
      </c>
      <c r="E78" s="151">
        <v>0.93687099584557809</v>
      </c>
      <c r="F78" s="151">
        <v>1.042158979116671</v>
      </c>
    </row>
    <row r="79" spans="1:7" x14ac:dyDescent="0.3">
      <c r="B79" s="153" t="s">
        <v>584</v>
      </c>
      <c r="C79" s="151">
        <v>0.99574717535197188</v>
      </c>
      <c r="D79" s="151">
        <v>0.76877255086451424</v>
      </c>
      <c r="E79" s="151">
        <v>0.96785223969139911</v>
      </c>
      <c r="F79" s="151">
        <v>1.024446084391534</v>
      </c>
    </row>
    <row r="80" spans="1:7" x14ac:dyDescent="0.3">
      <c r="B80" s="153" t="s">
        <v>585</v>
      </c>
      <c r="C80" s="151">
        <v>0.97759350373148501</v>
      </c>
      <c r="D80" s="151">
        <v>0.30355221469085319</v>
      </c>
      <c r="E80" s="151">
        <v>0.93628864622372832</v>
      </c>
      <c r="F80" s="151">
        <v>1.020720546374795</v>
      </c>
    </row>
    <row r="81" spans="1:7" x14ac:dyDescent="0.3">
      <c r="B81" s="166" t="s">
        <v>17</v>
      </c>
      <c r="C81" s="154">
        <v>0.95102155238398145</v>
      </c>
      <c r="D81" s="154">
        <v>0.4580296996769207</v>
      </c>
      <c r="E81" s="154">
        <v>0.83289150180322991</v>
      </c>
      <c r="F81" s="154">
        <v>1.085906136802572</v>
      </c>
    </row>
    <row r="82" spans="1:7" x14ac:dyDescent="0.3">
      <c r="C82" s="151"/>
      <c r="D82" s="151"/>
      <c r="E82" s="151"/>
      <c r="F82" s="151"/>
    </row>
    <row r="83" spans="1:7" x14ac:dyDescent="0.3">
      <c r="C83" s="151"/>
      <c r="D83" s="151"/>
      <c r="E83" s="151"/>
      <c r="F83" s="151"/>
    </row>
    <row r="84" spans="1:7" x14ac:dyDescent="0.3">
      <c r="A84" s="165" t="s">
        <v>590</v>
      </c>
      <c r="C84" s="151"/>
      <c r="D84" s="151"/>
      <c r="E84" s="151"/>
      <c r="F84" s="151"/>
    </row>
    <row r="85" spans="1:7" x14ac:dyDescent="0.3">
      <c r="B85" s="163"/>
      <c r="C85" s="168" t="s">
        <v>514</v>
      </c>
      <c r="D85" s="168" t="s">
        <v>486</v>
      </c>
      <c r="E85" s="172" t="s">
        <v>506</v>
      </c>
      <c r="F85" s="173" t="s">
        <v>507</v>
      </c>
    </row>
    <row r="86" spans="1:7" x14ac:dyDescent="0.3">
      <c r="B86" s="153" t="s">
        <v>579</v>
      </c>
      <c r="C86" s="151">
        <v>2.1831018707550829</v>
      </c>
      <c r="D86" s="151">
        <v>0.47510744795305981</v>
      </c>
      <c r="E86" s="151">
        <v>0.25618405284083862</v>
      </c>
      <c r="F86" s="151">
        <v>18.60355367652533</v>
      </c>
    </row>
    <row r="87" spans="1:7" x14ac:dyDescent="0.3">
      <c r="B87" s="153" t="s">
        <v>580</v>
      </c>
      <c r="C87" s="151">
        <v>2.5789118138389941</v>
      </c>
      <c r="D87" s="151">
        <v>0.369320592742089</v>
      </c>
      <c r="E87" s="151">
        <v>0.32597689231219101</v>
      </c>
      <c r="F87" s="151">
        <v>20.402630678461751</v>
      </c>
    </row>
    <row r="88" spans="1:7" x14ac:dyDescent="0.3">
      <c r="B88" s="153" t="s">
        <v>581</v>
      </c>
      <c r="C88" s="151">
        <v>2.404813225280964</v>
      </c>
      <c r="D88" s="151">
        <v>0.40007666694742661</v>
      </c>
      <c r="E88" s="151">
        <v>0.31151309522090731</v>
      </c>
      <c r="F88" s="151">
        <v>18.564634158911261</v>
      </c>
    </row>
    <row r="89" spans="1:7" x14ac:dyDescent="0.3">
      <c r="B89" s="169" t="s">
        <v>582</v>
      </c>
      <c r="C89" s="156">
        <v>16.506605505076401</v>
      </c>
      <c r="D89" s="156">
        <v>2.3153674112628801E-2</v>
      </c>
      <c r="E89" s="156">
        <v>1.467976655072597</v>
      </c>
      <c r="F89" s="156">
        <v>185.60787350310011</v>
      </c>
      <c r="G89" s="146" t="s">
        <v>592</v>
      </c>
    </row>
    <row r="90" spans="1:7" x14ac:dyDescent="0.3">
      <c r="B90" s="169" t="s">
        <v>508</v>
      </c>
      <c r="C90" s="156">
        <v>1.0148008158490061</v>
      </c>
      <c r="D90" s="156">
        <v>3.1426664712341E-3</v>
      </c>
      <c r="E90" s="156">
        <v>1.0049543936073431</v>
      </c>
      <c r="F90" s="156">
        <v>1.024743712151162</v>
      </c>
      <c r="G90" s="146" t="s">
        <v>594</v>
      </c>
    </row>
    <row r="91" spans="1:7" x14ac:dyDescent="0.3">
      <c r="B91" s="153" t="s">
        <v>583</v>
      </c>
      <c r="C91" s="151">
        <v>1.3673803439468011</v>
      </c>
      <c r="D91" s="151">
        <v>0.56824783000465651</v>
      </c>
      <c r="E91" s="151">
        <v>0.46681887347939588</v>
      </c>
      <c r="F91" s="151">
        <v>4.0052558095524304</v>
      </c>
    </row>
    <row r="92" spans="1:7" x14ac:dyDescent="0.3">
      <c r="B92" s="169" t="s">
        <v>510</v>
      </c>
      <c r="C92" s="156">
        <v>0.27509311286534982</v>
      </c>
      <c r="D92" s="156">
        <v>8.6380544488916002E-3</v>
      </c>
      <c r="E92" s="156">
        <v>0.1049866141157216</v>
      </c>
      <c r="F92" s="156">
        <v>0.720817805044497</v>
      </c>
      <c r="G92" s="146" t="s">
        <v>595</v>
      </c>
    </row>
    <row r="93" spans="1:7" x14ac:dyDescent="0.3">
      <c r="B93" s="153" t="s">
        <v>511</v>
      </c>
      <c r="C93" s="151">
        <v>0.99148305479874377</v>
      </c>
      <c r="D93" s="151">
        <v>0.74730988076925731</v>
      </c>
      <c r="E93" s="151">
        <v>0.94121253222036816</v>
      </c>
      <c r="F93" s="151">
        <v>1.0444385452815961</v>
      </c>
    </row>
    <row r="94" spans="1:7" x14ac:dyDescent="0.3">
      <c r="B94" s="153" t="s">
        <v>584</v>
      </c>
      <c r="C94" s="151">
        <v>0.99599539267246251</v>
      </c>
      <c r="D94" s="151">
        <v>0.76330458529441902</v>
      </c>
      <c r="E94" s="151">
        <v>0.97032081316500129</v>
      </c>
      <c r="F94" s="151">
        <v>1.022349318664036</v>
      </c>
    </row>
    <row r="95" spans="1:7" x14ac:dyDescent="0.3">
      <c r="B95" s="169" t="s">
        <v>585</v>
      </c>
      <c r="C95" s="156">
        <v>0.95535448753354268</v>
      </c>
      <c r="D95" s="156">
        <v>3.0423753131767001E-2</v>
      </c>
      <c r="E95" s="156">
        <v>0.91665034091601882</v>
      </c>
      <c r="F95" s="156">
        <v>0.99569285703685506</v>
      </c>
      <c r="G95" s="146" t="s">
        <v>596</v>
      </c>
    </row>
    <row r="96" spans="1:7" x14ac:dyDescent="0.3">
      <c r="B96" s="166" t="s">
        <v>17</v>
      </c>
      <c r="C96" s="154">
        <v>0.91240704811628848</v>
      </c>
      <c r="D96" s="154">
        <v>0.15375648443944201</v>
      </c>
      <c r="E96" s="154">
        <v>0.80442361913485683</v>
      </c>
      <c r="F96" s="154">
        <v>1.0348858507506331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6"/>
  <sheetViews>
    <sheetView tabSelected="1" workbookViewId="0">
      <selection activeCell="I19" sqref="I19"/>
    </sheetView>
  </sheetViews>
  <sheetFormatPr defaultRowHeight="14.4" x14ac:dyDescent="0.3"/>
  <cols>
    <col min="1" max="1" width="17.88671875" customWidth="1"/>
    <col min="2" max="2" width="33.77734375" customWidth="1"/>
    <col min="3" max="8" width="14.109375" customWidth="1"/>
  </cols>
  <sheetData>
    <row r="1" spans="1:6" x14ac:dyDescent="0.3">
      <c r="A1" s="137" t="s">
        <v>650</v>
      </c>
    </row>
    <row r="2" spans="1:6" x14ac:dyDescent="0.3">
      <c r="A2" s="135" t="s">
        <v>504</v>
      </c>
      <c r="B2" s="163"/>
      <c r="C2" s="164" t="s">
        <v>420</v>
      </c>
      <c r="D2" s="164" t="s">
        <v>409</v>
      </c>
      <c r="E2" s="164" t="s">
        <v>431</v>
      </c>
    </row>
    <row r="3" spans="1:6" x14ac:dyDescent="0.3">
      <c r="B3" t="s">
        <v>430</v>
      </c>
      <c r="C3" s="143" t="s">
        <v>602</v>
      </c>
      <c r="D3" s="143" t="s">
        <v>603</v>
      </c>
      <c r="E3" s="151">
        <v>0.32823504609959742</v>
      </c>
    </row>
    <row r="4" spans="1:6" x14ac:dyDescent="0.3">
      <c r="B4" t="s">
        <v>422</v>
      </c>
      <c r="C4" s="143" t="s">
        <v>604</v>
      </c>
      <c r="D4" s="143" t="s">
        <v>605</v>
      </c>
      <c r="E4" s="151">
        <v>0.72535249459760132</v>
      </c>
    </row>
    <row r="5" spans="1:6" x14ac:dyDescent="0.3">
      <c r="B5" t="s">
        <v>423</v>
      </c>
      <c r="C5" s="143" t="s">
        <v>606</v>
      </c>
      <c r="D5" s="143" t="s">
        <v>607</v>
      </c>
      <c r="E5" s="151">
        <v>0.43718284993671208</v>
      </c>
    </row>
    <row r="6" spans="1:6" x14ac:dyDescent="0.3">
      <c r="B6" s="171" t="s">
        <v>434</v>
      </c>
      <c r="C6" s="143" t="s">
        <v>608</v>
      </c>
      <c r="D6" s="143" t="s">
        <v>609</v>
      </c>
      <c r="E6" s="156">
        <v>4.7498615032991402E-2</v>
      </c>
      <c r="F6" s="146" t="s">
        <v>658</v>
      </c>
    </row>
    <row r="7" spans="1:6" x14ac:dyDescent="0.3">
      <c r="B7" t="s">
        <v>536</v>
      </c>
      <c r="C7" s="143" t="s">
        <v>610</v>
      </c>
      <c r="D7" s="143" t="s">
        <v>611</v>
      </c>
      <c r="E7" s="151">
        <v>0.28260406423832751</v>
      </c>
    </row>
    <row r="8" spans="1:6" x14ac:dyDescent="0.3">
      <c r="B8" t="s">
        <v>612</v>
      </c>
      <c r="C8" s="143" t="s">
        <v>613</v>
      </c>
      <c r="D8" s="143" t="s">
        <v>614</v>
      </c>
      <c r="E8" s="170" t="s">
        <v>651</v>
      </c>
      <c r="F8" s="146" t="s">
        <v>657</v>
      </c>
    </row>
    <row r="9" spans="1:6" x14ac:dyDescent="0.3">
      <c r="B9" s="138" t="s">
        <v>426</v>
      </c>
      <c r="C9" s="144" t="s">
        <v>615</v>
      </c>
      <c r="D9" s="144" t="s">
        <v>616</v>
      </c>
      <c r="E9" s="154">
        <v>0.1484027433244422</v>
      </c>
    </row>
    <row r="10" spans="1:6" x14ac:dyDescent="0.3">
      <c r="B10" t="s">
        <v>427</v>
      </c>
    </row>
    <row r="13" spans="1:6" x14ac:dyDescent="0.3">
      <c r="B13" t="s">
        <v>458</v>
      </c>
    </row>
    <row r="14" spans="1:6" x14ac:dyDescent="0.3">
      <c r="B14" s="153" t="s">
        <v>452</v>
      </c>
    </row>
    <row r="15" spans="1:6" x14ac:dyDescent="0.3">
      <c r="B15" s="153" t="s">
        <v>450</v>
      </c>
      <c r="C15" s="151">
        <v>-0.91288538478829007</v>
      </c>
    </row>
    <row r="16" spans="1:6" x14ac:dyDescent="0.3">
      <c r="B16" s="153" t="s">
        <v>451</v>
      </c>
      <c r="C16" s="151">
        <v>0.36130282495396082</v>
      </c>
      <c r="D16" s="146" t="s">
        <v>587</v>
      </c>
    </row>
    <row r="19" spans="2:4" x14ac:dyDescent="0.3">
      <c r="B19" s="186" t="s">
        <v>659</v>
      </c>
    </row>
    <row r="20" spans="2:4" x14ac:dyDescent="0.3">
      <c r="B20" s="153" t="s">
        <v>455</v>
      </c>
    </row>
    <row r="21" spans="2:4" x14ac:dyDescent="0.3">
      <c r="B21" s="153" t="s">
        <v>456</v>
      </c>
      <c r="C21" s="151">
        <v>-4.3250747959160882E-2</v>
      </c>
    </row>
    <row r="22" spans="2:4" x14ac:dyDescent="0.3">
      <c r="B22" s="153" t="s">
        <v>451</v>
      </c>
      <c r="C22" s="151">
        <v>0.71937624816876267</v>
      </c>
      <c r="D22" s="146" t="s">
        <v>588</v>
      </c>
    </row>
    <row r="25" spans="2:4" x14ac:dyDescent="0.3">
      <c r="B25" s="186" t="s">
        <v>660</v>
      </c>
    </row>
    <row r="26" spans="2:4" x14ac:dyDescent="0.3">
      <c r="B26" s="153" t="s">
        <v>455</v>
      </c>
    </row>
    <row r="27" spans="2:4" x14ac:dyDescent="0.3">
      <c r="B27" s="153" t="s">
        <v>456</v>
      </c>
      <c r="C27" s="151">
        <v>0.14091458683393315</v>
      </c>
    </row>
    <row r="28" spans="2:4" x14ac:dyDescent="0.3">
      <c r="B28" s="153" t="s">
        <v>451</v>
      </c>
      <c r="C28" s="151">
        <v>0.24034912739168693</v>
      </c>
      <c r="D28" s="146" t="s">
        <v>588</v>
      </c>
    </row>
    <row r="31" spans="2:4" x14ac:dyDescent="0.3">
      <c r="B31" t="s">
        <v>488</v>
      </c>
    </row>
    <row r="33" spans="2:8" x14ac:dyDescent="0.3">
      <c r="B33" s="143" t="s">
        <v>489</v>
      </c>
      <c r="C33" s="144" t="s">
        <v>485</v>
      </c>
      <c r="D33" s="144">
        <v>3</v>
      </c>
      <c r="E33" s="144">
        <v>4</v>
      </c>
      <c r="F33" s="144">
        <v>5</v>
      </c>
      <c r="G33" s="144" t="s">
        <v>459</v>
      </c>
      <c r="H33" s="143"/>
    </row>
    <row r="34" spans="2:8" x14ac:dyDescent="0.3">
      <c r="B34" s="143"/>
      <c r="C34" s="143">
        <v>1</v>
      </c>
      <c r="D34" s="143" t="s">
        <v>617</v>
      </c>
      <c r="E34" s="143" t="s">
        <v>618</v>
      </c>
      <c r="F34" s="143" t="s">
        <v>617</v>
      </c>
      <c r="G34" s="143" t="s">
        <v>619</v>
      </c>
      <c r="H34" s="143"/>
    </row>
    <row r="35" spans="2:8" x14ac:dyDescent="0.3">
      <c r="B35" s="143"/>
      <c r="C35" s="143">
        <v>2</v>
      </c>
      <c r="D35" s="143" t="s">
        <v>620</v>
      </c>
      <c r="E35" s="143" t="s">
        <v>621</v>
      </c>
      <c r="F35" s="143" t="s">
        <v>622</v>
      </c>
      <c r="G35" s="143" t="s">
        <v>623</v>
      </c>
      <c r="H35" s="143"/>
    </row>
    <row r="36" spans="2:8" x14ac:dyDescent="0.3">
      <c r="B36" s="143"/>
      <c r="C36" s="143">
        <v>3</v>
      </c>
      <c r="D36" s="143" t="s">
        <v>624</v>
      </c>
      <c r="E36" s="143" t="s">
        <v>625</v>
      </c>
      <c r="F36" s="143" t="s">
        <v>626</v>
      </c>
      <c r="G36" s="143" t="s">
        <v>627</v>
      </c>
      <c r="H36" s="143"/>
    </row>
    <row r="37" spans="2:8" x14ac:dyDescent="0.3">
      <c r="B37" s="143"/>
      <c r="C37" s="143">
        <v>4</v>
      </c>
      <c r="D37" s="143" t="s">
        <v>628</v>
      </c>
      <c r="E37" s="143" t="s">
        <v>629</v>
      </c>
      <c r="F37" s="143" t="s">
        <v>630</v>
      </c>
      <c r="G37" s="143" t="s">
        <v>631</v>
      </c>
      <c r="H37" s="143"/>
    </row>
    <row r="38" spans="2:8" x14ac:dyDescent="0.3">
      <c r="B38" s="143"/>
      <c r="C38" s="143">
        <v>5</v>
      </c>
      <c r="D38" s="143" t="s">
        <v>548</v>
      </c>
      <c r="E38" s="143" t="s">
        <v>632</v>
      </c>
      <c r="F38" s="143" t="s">
        <v>566</v>
      </c>
      <c r="G38" s="143" t="s">
        <v>550</v>
      </c>
      <c r="H38" s="143"/>
    </row>
    <row r="39" spans="2:8" x14ac:dyDescent="0.3">
      <c r="B39" s="143"/>
      <c r="C39" s="144" t="s">
        <v>459</v>
      </c>
      <c r="D39" s="144" t="s">
        <v>633</v>
      </c>
      <c r="E39" s="144" t="s">
        <v>634</v>
      </c>
      <c r="F39" s="144" t="s">
        <v>635</v>
      </c>
      <c r="G39" s="144" t="s">
        <v>636</v>
      </c>
      <c r="H39" s="143"/>
    </row>
    <row r="40" spans="2:8" x14ac:dyDescent="0.3">
      <c r="B40" s="143"/>
      <c r="C40" s="143" t="s">
        <v>486</v>
      </c>
      <c r="D40" s="151">
        <v>0.54980644102188869</v>
      </c>
      <c r="E40" s="152" t="s">
        <v>487</v>
      </c>
      <c r="F40" s="143"/>
      <c r="G40" s="143"/>
      <c r="H40" s="143"/>
    </row>
    <row r="41" spans="2:8" x14ac:dyDescent="0.3">
      <c r="B41" s="143"/>
      <c r="C41" s="143"/>
      <c r="D41" s="143"/>
      <c r="E41" s="143"/>
      <c r="F41" s="143"/>
      <c r="G41" s="143"/>
      <c r="H41" s="143"/>
    </row>
    <row r="42" spans="2:8" x14ac:dyDescent="0.3">
      <c r="B42" s="143" t="s">
        <v>490</v>
      </c>
      <c r="C42" s="144" t="s">
        <v>485</v>
      </c>
      <c r="D42" s="144">
        <v>2</v>
      </c>
      <c r="E42" s="144">
        <v>3</v>
      </c>
      <c r="F42" s="144">
        <v>4</v>
      </c>
      <c r="G42" s="144">
        <v>5</v>
      </c>
      <c r="H42" s="144" t="s">
        <v>459</v>
      </c>
    </row>
    <row r="43" spans="2:8" x14ac:dyDescent="0.3">
      <c r="C43" s="143">
        <v>1</v>
      </c>
      <c r="D43" s="143" t="s">
        <v>637</v>
      </c>
      <c r="E43" s="143" t="s">
        <v>618</v>
      </c>
      <c r="F43" s="143" t="s">
        <v>545</v>
      </c>
      <c r="G43" s="143" t="s">
        <v>638</v>
      </c>
      <c r="H43" s="143" t="s">
        <v>619</v>
      </c>
    </row>
    <row r="44" spans="2:8" x14ac:dyDescent="0.3">
      <c r="C44" s="143">
        <v>2</v>
      </c>
      <c r="D44" s="143" t="s">
        <v>545</v>
      </c>
      <c r="E44" s="143" t="s">
        <v>639</v>
      </c>
      <c r="F44" s="143" t="s">
        <v>640</v>
      </c>
      <c r="G44" s="143" t="s">
        <v>641</v>
      </c>
      <c r="H44" s="143" t="s">
        <v>623</v>
      </c>
    </row>
    <row r="45" spans="2:8" x14ac:dyDescent="0.3">
      <c r="C45" s="143">
        <v>3</v>
      </c>
      <c r="D45" s="143" t="s">
        <v>642</v>
      </c>
      <c r="E45" s="143" t="s">
        <v>643</v>
      </c>
      <c r="F45" s="143" t="s">
        <v>626</v>
      </c>
      <c r="G45" s="143" t="s">
        <v>626</v>
      </c>
      <c r="H45" s="143" t="s">
        <v>627</v>
      </c>
    </row>
    <row r="46" spans="2:8" x14ac:dyDescent="0.3">
      <c r="C46" s="143">
        <v>4</v>
      </c>
      <c r="D46" s="143" t="s">
        <v>545</v>
      </c>
      <c r="E46" s="143" t="s">
        <v>644</v>
      </c>
      <c r="F46" s="143" t="s">
        <v>628</v>
      </c>
      <c r="G46" s="143" t="s">
        <v>644</v>
      </c>
      <c r="H46" s="143" t="s">
        <v>631</v>
      </c>
    </row>
    <row r="47" spans="2:8" x14ac:dyDescent="0.3">
      <c r="C47" s="143">
        <v>5</v>
      </c>
      <c r="D47" s="143" t="s">
        <v>545</v>
      </c>
      <c r="E47" s="143" t="s">
        <v>645</v>
      </c>
      <c r="F47" s="143" t="s">
        <v>646</v>
      </c>
      <c r="G47" s="143" t="s">
        <v>566</v>
      </c>
      <c r="H47" s="143" t="s">
        <v>550</v>
      </c>
    </row>
    <row r="48" spans="2:8" x14ac:dyDescent="0.3">
      <c r="C48" s="144" t="s">
        <v>459</v>
      </c>
      <c r="D48" s="144" t="s">
        <v>647</v>
      </c>
      <c r="E48" s="144" t="s">
        <v>648</v>
      </c>
      <c r="F48" s="144" t="s">
        <v>634</v>
      </c>
      <c r="G48" s="144" t="s">
        <v>649</v>
      </c>
      <c r="H48" s="144" t="s">
        <v>636</v>
      </c>
    </row>
    <row r="49" spans="1:8" x14ac:dyDescent="0.3">
      <c r="C49" s="143" t="s">
        <v>486</v>
      </c>
      <c r="D49" s="151">
        <v>0.49849343464815721</v>
      </c>
      <c r="E49" s="152" t="s">
        <v>487</v>
      </c>
      <c r="F49" s="143"/>
      <c r="G49" s="143"/>
      <c r="H49" s="143"/>
    </row>
    <row r="52" spans="1:8" x14ac:dyDescent="0.3">
      <c r="A52" s="135" t="s">
        <v>505</v>
      </c>
    </row>
    <row r="54" spans="1:8" x14ac:dyDescent="0.3">
      <c r="A54" t="s">
        <v>515</v>
      </c>
    </row>
    <row r="55" spans="1:8" x14ac:dyDescent="0.3">
      <c r="B55" s="164"/>
      <c r="C55" s="164" t="s">
        <v>514</v>
      </c>
      <c r="D55" s="164" t="s">
        <v>486</v>
      </c>
      <c r="E55" s="167" t="s">
        <v>506</v>
      </c>
      <c r="F55" s="174" t="s">
        <v>507</v>
      </c>
    </row>
    <row r="56" spans="1:8" x14ac:dyDescent="0.3">
      <c r="B56" s="153" t="s">
        <v>579</v>
      </c>
      <c r="C56" s="151">
        <v>1.6822674476630071</v>
      </c>
      <c r="D56" s="151">
        <v>0.52886892111245176</v>
      </c>
      <c r="E56" s="151">
        <v>0.33329288334365242</v>
      </c>
      <c r="F56" s="151">
        <v>8.4911016913272093</v>
      </c>
      <c r="G56" s="146" t="s">
        <v>517</v>
      </c>
    </row>
    <row r="57" spans="1:8" x14ac:dyDescent="0.3">
      <c r="B57" s="153" t="s">
        <v>580</v>
      </c>
      <c r="C57" s="151">
        <v>0.71539476240440736</v>
      </c>
      <c r="D57" s="151">
        <v>0.67525769295991167</v>
      </c>
      <c r="E57" s="151">
        <v>0.1492998655551126</v>
      </c>
      <c r="F57" s="151">
        <v>3.427931191851854</v>
      </c>
    </row>
    <row r="58" spans="1:8" x14ac:dyDescent="0.3">
      <c r="B58" s="153" t="s">
        <v>581</v>
      </c>
      <c r="C58" s="151">
        <v>1.018310713714494</v>
      </c>
      <c r="D58" s="151">
        <v>0.9817684105260851</v>
      </c>
      <c r="E58" s="151">
        <v>0.2147834362156478</v>
      </c>
      <c r="F58" s="151">
        <v>4.8279174965083964</v>
      </c>
    </row>
    <row r="59" spans="1:8" x14ac:dyDescent="0.3">
      <c r="B59" s="153" t="s">
        <v>582</v>
      </c>
      <c r="C59" s="151">
        <v>1.4839648663456899</v>
      </c>
      <c r="D59" s="151">
        <v>0.65020804776339314</v>
      </c>
      <c r="E59" s="151">
        <v>0.2694702026431654</v>
      </c>
      <c r="F59" s="151">
        <v>8.1721529985431793</v>
      </c>
    </row>
    <row r="60" spans="1:8" x14ac:dyDescent="0.3">
      <c r="B60" s="153" t="s">
        <v>508</v>
      </c>
      <c r="C60" s="151">
        <v>1.0034220098143971</v>
      </c>
      <c r="D60" s="151">
        <v>0.18315866248220999</v>
      </c>
      <c r="E60" s="151">
        <v>0.99838734027477538</v>
      </c>
      <c r="F60" s="151">
        <v>1.0084820681949529</v>
      </c>
    </row>
    <row r="61" spans="1:8" x14ac:dyDescent="0.3">
      <c r="B61" s="153" t="s">
        <v>583</v>
      </c>
      <c r="C61" s="151">
        <v>1.077773849761793</v>
      </c>
      <c r="D61" s="151">
        <v>0.84259504626438186</v>
      </c>
      <c r="E61" s="151">
        <v>0.51460671557973814</v>
      </c>
      <c r="F61" s="151">
        <v>2.2572508987212552</v>
      </c>
    </row>
    <row r="62" spans="1:8" x14ac:dyDescent="0.3">
      <c r="B62" s="169" t="s">
        <v>510</v>
      </c>
      <c r="C62" s="156">
        <v>0.21776162538806151</v>
      </c>
      <c r="D62" s="156">
        <v>4.8648595781819501E-2</v>
      </c>
      <c r="E62" s="156">
        <v>4.78508173531529E-2</v>
      </c>
      <c r="F62" s="156">
        <v>0.99099927889791728</v>
      </c>
      <c r="G62" s="146" t="s">
        <v>655</v>
      </c>
    </row>
    <row r="63" spans="1:8" x14ac:dyDescent="0.3">
      <c r="B63" s="153" t="s">
        <v>511</v>
      </c>
      <c r="C63" s="151">
        <v>0.94098601714003482</v>
      </c>
      <c r="D63" s="151">
        <v>0.20324760099053671</v>
      </c>
      <c r="E63" s="151">
        <v>0.85682088468625239</v>
      </c>
      <c r="F63" s="151">
        <v>1.0334186529280249</v>
      </c>
    </row>
    <row r="64" spans="1:8" x14ac:dyDescent="0.3">
      <c r="B64" s="153" t="s">
        <v>584</v>
      </c>
      <c r="C64" s="151">
        <v>0.99514170242312294</v>
      </c>
      <c r="D64" s="151">
        <v>0.92340129237213142</v>
      </c>
      <c r="E64" s="151">
        <v>0.90109465330995564</v>
      </c>
      <c r="F64" s="151">
        <v>1.0990044211936401</v>
      </c>
    </row>
    <row r="65" spans="1:7" x14ac:dyDescent="0.3">
      <c r="B65" s="169" t="s">
        <v>16</v>
      </c>
      <c r="C65" s="156">
        <v>0.90541921387835855</v>
      </c>
      <c r="D65" s="156">
        <v>1.4188193485164299E-2</v>
      </c>
      <c r="E65" s="156">
        <v>0.8363051573697875</v>
      </c>
      <c r="F65" s="156">
        <v>0.98024500463246877</v>
      </c>
      <c r="G65" s="146" t="s">
        <v>656</v>
      </c>
    </row>
    <row r="66" spans="1:7" x14ac:dyDescent="0.3">
      <c r="B66" s="166" t="s">
        <v>17</v>
      </c>
      <c r="C66" s="154">
        <v>0.97419914649818551</v>
      </c>
      <c r="D66" s="154">
        <v>0.72690938193406285</v>
      </c>
      <c r="E66" s="154">
        <v>0.84127480601630766</v>
      </c>
      <c r="F66" s="154">
        <v>1.128125994325089</v>
      </c>
    </row>
    <row r="67" spans="1:7" x14ac:dyDescent="0.3">
      <c r="C67" s="148"/>
      <c r="D67" s="148"/>
      <c r="E67" s="148"/>
      <c r="F67" s="148"/>
    </row>
    <row r="68" spans="1:7" x14ac:dyDescent="0.3">
      <c r="C68" s="148"/>
      <c r="D68" s="148"/>
      <c r="E68" s="148"/>
      <c r="F68" s="148"/>
    </row>
    <row r="69" spans="1:7" x14ac:dyDescent="0.3">
      <c r="A69" t="s">
        <v>589</v>
      </c>
      <c r="C69" s="148"/>
      <c r="D69" s="148"/>
      <c r="E69" s="148"/>
      <c r="F69" s="148"/>
    </row>
    <row r="70" spans="1:7" x14ac:dyDescent="0.3">
      <c r="B70" s="164"/>
      <c r="C70" s="168" t="s">
        <v>514</v>
      </c>
      <c r="D70" s="168" t="s">
        <v>486</v>
      </c>
      <c r="E70" s="167" t="s">
        <v>506</v>
      </c>
      <c r="F70" s="174" t="s">
        <v>507</v>
      </c>
    </row>
    <row r="71" spans="1:7" x14ac:dyDescent="0.3">
      <c r="B71" s="153" t="s">
        <v>579</v>
      </c>
      <c r="C71" s="151">
        <v>0.70009744562672382</v>
      </c>
      <c r="D71" s="151">
        <v>0.69495513836903466</v>
      </c>
      <c r="E71" s="151">
        <v>0.11782585771046079</v>
      </c>
      <c r="F71" s="151">
        <v>4.1598376018403354</v>
      </c>
      <c r="G71" s="146" t="s">
        <v>519</v>
      </c>
    </row>
    <row r="72" spans="1:7" x14ac:dyDescent="0.3">
      <c r="B72" s="153" t="s">
        <v>580</v>
      </c>
      <c r="C72" s="151">
        <v>0.52251698713709049</v>
      </c>
      <c r="D72" s="151">
        <v>0.5229851384103148</v>
      </c>
      <c r="E72" s="151">
        <v>7.1303406559378599E-2</v>
      </c>
      <c r="F72" s="151">
        <v>3.8290456939032649</v>
      </c>
    </row>
    <row r="73" spans="1:7" x14ac:dyDescent="0.3">
      <c r="B73" s="153" t="s">
        <v>581</v>
      </c>
      <c r="C73" s="151">
        <v>0.59372336382765334</v>
      </c>
      <c r="D73" s="151">
        <v>0.58264090073894392</v>
      </c>
      <c r="E73" s="151">
        <v>9.2479821129794096E-2</v>
      </c>
      <c r="F73" s="151">
        <v>3.8117226920247238</v>
      </c>
    </row>
    <row r="74" spans="1:7" x14ac:dyDescent="0.3">
      <c r="B74" s="153" t="s">
        <v>582</v>
      </c>
      <c r="C74" s="151">
        <v>0.49147482326649539</v>
      </c>
      <c r="D74" s="151">
        <v>0.46506864338053933</v>
      </c>
      <c r="E74" s="151">
        <v>7.3082785308551307E-2</v>
      </c>
      <c r="F74" s="151">
        <v>3.3051217312672629</v>
      </c>
    </row>
    <row r="75" spans="1:7" x14ac:dyDescent="0.3">
      <c r="B75" s="153" t="s">
        <v>508</v>
      </c>
      <c r="C75" s="151">
        <v>1.0044267557389981</v>
      </c>
      <c r="D75" s="151">
        <v>0.14179258166769321</v>
      </c>
      <c r="E75" s="151">
        <v>0.99852545331415588</v>
      </c>
      <c r="F75" s="151">
        <v>1.0103629349616161</v>
      </c>
    </row>
    <row r="76" spans="1:7" x14ac:dyDescent="0.3">
      <c r="B76" s="153" t="s">
        <v>583</v>
      </c>
      <c r="C76" s="151">
        <v>0.92319941354625634</v>
      </c>
      <c r="D76" s="151">
        <v>0.84863814087080347</v>
      </c>
      <c r="E76" s="151">
        <v>0.40635375452244832</v>
      </c>
      <c r="F76" s="151">
        <v>2.0974265592150889</v>
      </c>
    </row>
    <row r="77" spans="1:7" x14ac:dyDescent="0.3">
      <c r="B77" s="153" t="s">
        <v>510</v>
      </c>
      <c r="C77" s="151">
        <v>1.330353440747724</v>
      </c>
      <c r="D77" s="151">
        <v>0.76213767733237425</v>
      </c>
      <c r="E77" s="151">
        <v>0.20951798967995999</v>
      </c>
      <c r="F77" s="151">
        <v>8.4471995937568387</v>
      </c>
    </row>
    <row r="78" spans="1:7" x14ac:dyDescent="0.3">
      <c r="B78" s="153" t="s">
        <v>511</v>
      </c>
      <c r="C78" s="151">
        <v>0.97640608103776405</v>
      </c>
      <c r="D78" s="151">
        <v>0.66828754580682859</v>
      </c>
      <c r="E78" s="151">
        <v>0.8753869888998087</v>
      </c>
      <c r="F78" s="151">
        <v>1.0890827110484289</v>
      </c>
    </row>
    <row r="79" spans="1:7" x14ac:dyDescent="0.3">
      <c r="B79" s="153" t="s">
        <v>584</v>
      </c>
      <c r="C79" s="151">
        <v>1.027490284585143</v>
      </c>
      <c r="D79" s="151">
        <v>0.52992633910090281</v>
      </c>
      <c r="E79" s="151">
        <v>0.94411920078745248</v>
      </c>
      <c r="F79" s="151">
        <v>1.1182235082564891</v>
      </c>
    </row>
    <row r="80" spans="1:7" x14ac:dyDescent="0.3">
      <c r="B80" s="153" t="s">
        <v>16</v>
      </c>
      <c r="C80" s="151">
        <v>0.98141596565040112</v>
      </c>
      <c r="D80" s="151">
        <v>0.62288603941294463</v>
      </c>
      <c r="E80" s="151">
        <v>0.91071627734189076</v>
      </c>
      <c r="F80" s="151">
        <v>1.057604131601487</v>
      </c>
    </row>
    <row r="81" spans="1:7" x14ac:dyDescent="0.3">
      <c r="B81" s="166" t="s">
        <v>17</v>
      </c>
      <c r="C81" s="154">
        <v>1.0653246542786989</v>
      </c>
      <c r="D81" s="154">
        <v>0.3358316932799818</v>
      </c>
      <c r="E81" s="154">
        <v>0.93651742475414479</v>
      </c>
      <c r="F81" s="154">
        <v>1.2118478407510349</v>
      </c>
    </row>
    <row r="82" spans="1:7" x14ac:dyDescent="0.3">
      <c r="B82" s="153"/>
      <c r="C82" s="151"/>
      <c r="D82" s="151"/>
      <c r="E82" s="151"/>
      <c r="F82" s="151"/>
    </row>
    <row r="83" spans="1:7" x14ac:dyDescent="0.3">
      <c r="B83" s="153"/>
      <c r="C83" s="151"/>
      <c r="D83" s="151"/>
      <c r="E83" s="151"/>
      <c r="F83" s="151"/>
    </row>
    <row r="84" spans="1:7" x14ac:dyDescent="0.3">
      <c r="A84" t="s">
        <v>590</v>
      </c>
      <c r="B84" s="153"/>
      <c r="C84" s="151"/>
      <c r="D84" s="151"/>
      <c r="E84" s="151"/>
      <c r="F84" s="151"/>
    </row>
    <row r="85" spans="1:7" x14ac:dyDescent="0.3">
      <c r="B85" s="167"/>
      <c r="C85" s="168" t="s">
        <v>514</v>
      </c>
      <c r="D85" s="168" t="s">
        <v>486</v>
      </c>
      <c r="E85" s="167" t="s">
        <v>506</v>
      </c>
      <c r="F85" s="174" t="s">
        <v>507</v>
      </c>
    </row>
    <row r="86" spans="1:7" x14ac:dyDescent="0.3">
      <c r="B86" s="153" t="s">
        <v>579</v>
      </c>
      <c r="C86" s="151">
        <v>5.309113246450079</v>
      </c>
      <c r="D86" s="151">
        <v>0.1113112105976642</v>
      </c>
      <c r="E86" s="151">
        <v>0.68015325350845401</v>
      </c>
      <c r="F86" s="151">
        <v>41.441665269166201</v>
      </c>
      <c r="G86" s="146" t="s">
        <v>518</v>
      </c>
    </row>
    <row r="87" spans="1:7" x14ac:dyDescent="0.3">
      <c r="B87" s="153" t="s">
        <v>580</v>
      </c>
      <c r="C87" s="151">
        <v>4.164685912192188</v>
      </c>
      <c r="D87" s="151">
        <v>0.2140218145056125</v>
      </c>
      <c r="E87" s="151">
        <v>0.43882940081624272</v>
      </c>
      <c r="F87" s="151">
        <v>39.52471897951758</v>
      </c>
    </row>
    <row r="88" spans="1:7" x14ac:dyDescent="0.3">
      <c r="B88" s="153" t="s">
        <v>581</v>
      </c>
      <c r="C88" s="151">
        <v>4.7110645709684773</v>
      </c>
      <c r="D88" s="151">
        <v>0.14739822452774631</v>
      </c>
      <c r="E88" s="151">
        <v>0.57876216930838364</v>
      </c>
      <c r="F88" s="151">
        <v>38.347581387975339</v>
      </c>
    </row>
    <row r="89" spans="1:7" x14ac:dyDescent="0.3">
      <c r="B89" s="153" t="s">
        <v>582</v>
      </c>
      <c r="C89" s="151">
        <v>7.0114380163874541</v>
      </c>
      <c r="D89" s="151">
        <v>7.4558567751572505E-2</v>
      </c>
      <c r="E89" s="151">
        <v>0.82440745823048722</v>
      </c>
      <c r="F89" s="151">
        <v>59.631026583821942</v>
      </c>
    </row>
    <row r="90" spans="1:7" x14ac:dyDescent="0.3">
      <c r="B90" s="153" t="s">
        <v>508</v>
      </c>
      <c r="C90" s="151">
        <v>1.0034765004107971</v>
      </c>
      <c r="D90" s="151">
        <v>0.25597878812165842</v>
      </c>
      <c r="E90" s="151">
        <v>0.99748568260985482</v>
      </c>
      <c r="F90" s="151">
        <v>1.009503298575718</v>
      </c>
    </row>
    <row r="91" spans="1:7" x14ac:dyDescent="0.3">
      <c r="B91" s="153" t="s">
        <v>583</v>
      </c>
      <c r="C91" s="151">
        <v>1.084073290548089</v>
      </c>
      <c r="D91" s="151">
        <v>0.835843956166889</v>
      </c>
      <c r="E91" s="151">
        <v>0.50518310137767031</v>
      </c>
      <c r="F91" s="151">
        <v>2.326314748206872</v>
      </c>
    </row>
    <row r="92" spans="1:7" x14ac:dyDescent="0.3">
      <c r="B92" s="153" t="s">
        <v>510</v>
      </c>
      <c r="C92" s="151">
        <v>0.93360949996876397</v>
      </c>
      <c r="D92" s="151">
        <v>0.94296904623247857</v>
      </c>
      <c r="E92" s="151">
        <v>0.14215922668245429</v>
      </c>
      <c r="F92" s="151">
        <v>6.1313410235334658</v>
      </c>
    </row>
    <row r="93" spans="1:7" x14ac:dyDescent="0.3">
      <c r="B93" s="153" t="s">
        <v>511</v>
      </c>
      <c r="C93" s="151">
        <v>0.90854491477301214</v>
      </c>
      <c r="D93" s="151">
        <v>8.2290149869942306E-2</v>
      </c>
      <c r="E93" s="151">
        <v>0.8153816986825676</v>
      </c>
      <c r="F93" s="151">
        <v>1.0123526975079351</v>
      </c>
    </row>
    <row r="94" spans="1:7" x14ac:dyDescent="0.3">
      <c r="B94" s="153" t="s">
        <v>584</v>
      </c>
      <c r="C94" s="151">
        <v>1.00613483721399</v>
      </c>
      <c r="D94" s="151">
        <v>0.88785843774069972</v>
      </c>
      <c r="E94" s="151">
        <v>0.92414006785967817</v>
      </c>
      <c r="F94" s="151">
        <v>1.095404631681147</v>
      </c>
    </row>
    <row r="95" spans="1:7" x14ac:dyDescent="0.3">
      <c r="B95" s="153" t="s">
        <v>16</v>
      </c>
      <c r="C95" s="151">
        <v>0.9819887657132258</v>
      </c>
      <c r="D95" s="151">
        <v>0.66392823194666339</v>
      </c>
      <c r="E95" s="151">
        <v>0.90469022534272181</v>
      </c>
      <c r="F95" s="151">
        <v>1.0658918478108681</v>
      </c>
    </row>
    <row r="96" spans="1:7" x14ac:dyDescent="0.3">
      <c r="B96" s="166" t="s">
        <v>17</v>
      </c>
      <c r="C96" s="154">
        <v>1.1319161936220521</v>
      </c>
      <c r="D96" s="154">
        <v>9.7314874949425603E-2</v>
      </c>
      <c r="E96" s="154">
        <v>0.97768633303582886</v>
      </c>
      <c r="F96" s="154">
        <v>1.310475789720263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Liver Variables</vt:lpstr>
      <vt:lpstr>Kidney Variables</vt:lpstr>
      <vt:lpstr>Heart Variables</vt:lpstr>
      <vt:lpstr>Calculated Stats</vt:lpstr>
      <vt:lpstr>Ki_clean</vt:lpstr>
      <vt:lpstr>HT_clean</vt:lpstr>
      <vt:lpstr>Lv_clean</vt:lpstr>
      <vt:lpstr>KI_results</vt:lpstr>
      <vt:lpstr>HT_results</vt:lpstr>
      <vt:lpstr>Lv_results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Olzhas Zhorayev</cp:lastModifiedBy>
  <dcterms:created xsi:type="dcterms:W3CDTF">2026-05-08T00:31:58Z</dcterms:created>
  <dcterms:modified xsi:type="dcterms:W3CDTF">2026-06-11T10:08:17Z</dcterms:modified>
</cp:coreProperties>
</file>